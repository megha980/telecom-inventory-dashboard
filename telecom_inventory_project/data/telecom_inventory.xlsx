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Megha\Downloads\"/>
    </mc:Choice>
  </mc:AlternateContent>
  <xr:revisionPtr revIDLastSave="0" documentId="13_ncr:1_{835D4F24-69FC-4218-A46D-39ADC87D3460}"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Sheet5" sheetId="5" r:id="rId2"/>
    <sheet name="Sheet7" sheetId="7" r:id="rId3"/>
    <sheet name="Sheet9" sheetId="9" r:id="rId4"/>
    <sheet name="Sheet10" sheetId="10" r:id="rId5"/>
  </sheets>
  <calcPr calcId="191029"/>
  <pivotCaches>
    <pivotCache cacheId="18"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2" i="1"/>
  <c r="O2" i="1" s="1"/>
  <c r="A20" i="10" s="1"/>
  <c r="L3" i="1"/>
  <c r="O3" i="1" s="1"/>
  <c r="L4" i="1"/>
  <c r="O4" i="1" s="1"/>
  <c r="L5" i="1"/>
  <c r="O5" i="1" s="1"/>
  <c r="L6" i="1"/>
  <c r="O6" i="1" s="1"/>
  <c r="L7" i="1"/>
  <c r="O7" i="1" s="1"/>
  <c r="L8" i="1"/>
  <c r="O8" i="1" s="1"/>
  <c r="L9" i="1"/>
  <c r="O9" i="1" s="1"/>
  <c r="L10" i="1"/>
  <c r="O10" i="1" s="1"/>
  <c r="L11" i="1"/>
  <c r="O11" i="1" s="1"/>
  <c r="L12" i="1"/>
  <c r="O12" i="1" s="1"/>
  <c r="L13" i="1"/>
  <c r="O13" i="1" s="1"/>
  <c r="L14" i="1"/>
  <c r="O14" i="1" s="1"/>
  <c r="L15" i="1"/>
  <c r="O15" i="1" s="1"/>
  <c r="L16" i="1"/>
  <c r="O16" i="1" s="1"/>
  <c r="L17" i="1"/>
  <c r="O17" i="1" s="1"/>
  <c r="L18" i="1"/>
  <c r="O18" i="1" s="1"/>
  <c r="L19" i="1"/>
  <c r="O19" i="1" s="1"/>
  <c r="L20" i="1"/>
  <c r="O20" i="1" s="1"/>
  <c r="L21" i="1"/>
  <c r="O21" i="1" s="1"/>
  <c r="L22" i="1"/>
  <c r="O22" i="1" s="1"/>
  <c r="L23" i="1"/>
  <c r="O23" i="1" s="1"/>
  <c r="L24" i="1"/>
  <c r="O24" i="1" s="1"/>
  <c r="L25" i="1"/>
  <c r="O25" i="1" s="1"/>
  <c r="L26" i="1"/>
  <c r="O26" i="1" s="1"/>
  <c r="L27" i="1"/>
  <c r="O27" i="1" s="1"/>
  <c r="L28" i="1"/>
  <c r="O28" i="1" s="1"/>
  <c r="L29" i="1"/>
  <c r="O29" i="1" s="1"/>
  <c r="L30" i="1"/>
  <c r="O30" i="1" s="1"/>
  <c r="L31" i="1"/>
  <c r="O31" i="1" s="1"/>
  <c r="L32" i="1"/>
  <c r="O32" i="1" s="1"/>
  <c r="L33" i="1"/>
  <c r="O33" i="1" s="1"/>
  <c r="L34" i="1"/>
  <c r="O34" i="1" s="1"/>
  <c r="L35" i="1"/>
  <c r="O35" i="1" s="1"/>
  <c r="L36" i="1"/>
  <c r="O36" i="1" s="1"/>
  <c r="L37" i="1"/>
  <c r="O37" i="1" s="1"/>
  <c r="L38" i="1"/>
  <c r="O38" i="1" s="1"/>
  <c r="L39" i="1"/>
  <c r="O39" i="1" s="1"/>
  <c r="L40" i="1"/>
  <c r="O40" i="1" s="1"/>
  <c r="L41" i="1"/>
  <c r="O41" i="1" s="1"/>
  <c r="L42" i="1"/>
  <c r="O42" i="1" s="1"/>
  <c r="L43" i="1"/>
  <c r="O43" i="1" s="1"/>
  <c r="L44" i="1"/>
  <c r="O44" i="1" s="1"/>
  <c r="L45" i="1"/>
  <c r="O45" i="1" s="1"/>
  <c r="L46" i="1"/>
  <c r="O46" i="1" s="1"/>
  <c r="L47" i="1"/>
  <c r="O47" i="1" s="1"/>
  <c r="L48" i="1"/>
  <c r="O48" i="1" s="1"/>
  <c r="L49" i="1"/>
  <c r="O49" i="1" s="1"/>
  <c r="L50" i="1"/>
  <c r="O50" i="1" s="1"/>
  <c r="L51" i="1"/>
  <c r="O51" i="1" s="1"/>
  <c r="L52" i="1"/>
  <c r="O52" i="1" s="1"/>
  <c r="L53" i="1"/>
  <c r="O53" i="1" s="1"/>
  <c r="L54" i="1"/>
  <c r="O54" i="1" s="1"/>
  <c r="L55" i="1"/>
  <c r="O55" i="1" s="1"/>
  <c r="L56" i="1"/>
  <c r="O56" i="1" s="1"/>
  <c r="L57" i="1"/>
  <c r="O57" i="1" s="1"/>
  <c r="L58" i="1"/>
  <c r="O58" i="1" s="1"/>
  <c r="L59" i="1"/>
  <c r="O59" i="1" s="1"/>
  <c r="L60" i="1"/>
  <c r="O60" i="1" s="1"/>
  <c r="L61" i="1"/>
  <c r="O61" i="1" s="1"/>
  <c r="L62" i="1"/>
  <c r="O62" i="1" s="1"/>
  <c r="L63" i="1"/>
  <c r="O63" i="1" s="1"/>
  <c r="L64" i="1"/>
  <c r="O64" i="1" s="1"/>
  <c r="L65" i="1"/>
  <c r="O65" i="1" s="1"/>
  <c r="L66" i="1"/>
  <c r="O66" i="1" s="1"/>
  <c r="L67" i="1"/>
  <c r="O67" i="1" s="1"/>
  <c r="L68" i="1"/>
  <c r="O68" i="1" s="1"/>
  <c r="L69" i="1"/>
  <c r="O69" i="1" s="1"/>
  <c r="L70" i="1"/>
  <c r="O70" i="1" s="1"/>
  <c r="L71" i="1"/>
  <c r="O71" i="1" s="1"/>
  <c r="L72" i="1"/>
  <c r="O72" i="1" s="1"/>
  <c r="L73" i="1"/>
  <c r="O73" i="1" s="1"/>
  <c r="L74" i="1"/>
  <c r="O74" i="1" s="1"/>
  <c r="L75" i="1"/>
  <c r="O75" i="1" s="1"/>
  <c r="L76" i="1"/>
  <c r="O76" i="1" s="1"/>
  <c r="L77" i="1"/>
  <c r="O77" i="1" s="1"/>
  <c r="L78" i="1"/>
  <c r="O78" i="1" s="1"/>
  <c r="L79" i="1"/>
  <c r="O79" i="1" s="1"/>
  <c r="L80" i="1"/>
  <c r="O80" i="1" s="1"/>
  <c r="L81" i="1"/>
  <c r="O81" i="1" s="1"/>
  <c r="L82" i="1"/>
  <c r="O82" i="1" s="1"/>
  <c r="L83" i="1"/>
  <c r="O83" i="1" s="1"/>
  <c r="L84" i="1"/>
  <c r="O84" i="1" s="1"/>
  <c r="L85" i="1"/>
  <c r="O85" i="1" s="1"/>
  <c r="L86" i="1"/>
  <c r="O86" i="1" s="1"/>
  <c r="L87" i="1"/>
  <c r="O87" i="1" s="1"/>
  <c r="L88" i="1"/>
  <c r="O88" i="1" s="1"/>
  <c r="L89" i="1"/>
  <c r="O89" i="1" s="1"/>
  <c r="L90" i="1"/>
  <c r="O90" i="1" s="1"/>
  <c r="L91" i="1"/>
  <c r="O91" i="1" s="1"/>
  <c r="L92" i="1"/>
  <c r="O92" i="1" s="1"/>
  <c r="L93" i="1"/>
  <c r="O93" i="1" s="1"/>
  <c r="L94" i="1"/>
  <c r="O94" i="1" s="1"/>
  <c r="L95" i="1"/>
  <c r="O95" i="1" s="1"/>
  <c r="L96" i="1"/>
  <c r="O96" i="1" s="1"/>
  <c r="L97" i="1"/>
  <c r="O97" i="1" s="1"/>
  <c r="L98" i="1"/>
  <c r="O98" i="1" s="1"/>
  <c r="L99" i="1"/>
  <c r="O99" i="1" s="1"/>
  <c r="L100" i="1"/>
  <c r="O100" i="1" s="1"/>
  <c r="L101" i="1"/>
  <c r="O101" i="1" s="1"/>
  <c r="L102" i="1"/>
  <c r="O102" i="1" s="1"/>
  <c r="L103" i="1"/>
  <c r="O103" i="1" s="1"/>
  <c r="L104" i="1"/>
  <c r="O104" i="1" s="1"/>
  <c r="L105" i="1"/>
  <c r="O105" i="1" s="1"/>
  <c r="L106" i="1"/>
  <c r="O106" i="1" s="1"/>
  <c r="L107" i="1"/>
  <c r="O107" i="1" s="1"/>
  <c r="L108" i="1"/>
  <c r="O108" i="1" s="1"/>
  <c r="L109" i="1"/>
  <c r="O109" i="1" s="1"/>
  <c r="L110" i="1"/>
  <c r="O110" i="1" s="1"/>
  <c r="L111" i="1"/>
  <c r="O111" i="1" s="1"/>
  <c r="L112" i="1"/>
  <c r="O112" i="1" s="1"/>
  <c r="L113" i="1"/>
  <c r="O113" i="1" s="1"/>
  <c r="L114" i="1"/>
  <c r="O114" i="1" s="1"/>
  <c r="L115" i="1"/>
  <c r="O115" i="1" s="1"/>
  <c r="L116" i="1"/>
  <c r="O116" i="1" s="1"/>
  <c r="L117" i="1"/>
  <c r="O117" i="1" s="1"/>
  <c r="L118" i="1"/>
  <c r="O118" i="1" s="1"/>
  <c r="L119" i="1"/>
  <c r="O119" i="1" s="1"/>
  <c r="L120" i="1"/>
  <c r="O120" i="1" s="1"/>
  <c r="L121" i="1"/>
  <c r="O121" i="1" s="1"/>
  <c r="L122" i="1"/>
  <c r="O122" i="1" s="1"/>
  <c r="L123" i="1"/>
  <c r="O123" i="1" s="1"/>
  <c r="L124" i="1"/>
  <c r="O124" i="1" s="1"/>
  <c r="L125" i="1"/>
  <c r="O125" i="1" s="1"/>
  <c r="L126" i="1"/>
  <c r="O126" i="1" s="1"/>
  <c r="L127" i="1"/>
  <c r="O127" i="1" s="1"/>
  <c r="L128" i="1"/>
  <c r="O128" i="1" s="1"/>
  <c r="L129" i="1"/>
  <c r="O129" i="1" s="1"/>
  <c r="L130" i="1"/>
  <c r="O130" i="1" s="1"/>
  <c r="L131" i="1"/>
  <c r="O131" i="1" s="1"/>
  <c r="L132" i="1"/>
  <c r="O132" i="1" s="1"/>
  <c r="L133" i="1"/>
  <c r="O133" i="1" s="1"/>
  <c r="L134" i="1"/>
  <c r="O134" i="1" s="1"/>
  <c r="L135" i="1"/>
  <c r="O135" i="1" s="1"/>
  <c r="L136" i="1"/>
  <c r="O136" i="1" s="1"/>
  <c r="L137" i="1"/>
  <c r="O137" i="1" s="1"/>
  <c r="L138" i="1"/>
  <c r="O138" i="1" s="1"/>
  <c r="L139" i="1"/>
  <c r="O139" i="1" s="1"/>
  <c r="L140" i="1"/>
  <c r="O140" i="1" s="1"/>
  <c r="L141" i="1"/>
  <c r="O141" i="1" s="1"/>
  <c r="L142" i="1"/>
  <c r="O142" i="1" s="1"/>
  <c r="L143" i="1"/>
  <c r="O143" i="1" s="1"/>
  <c r="L144" i="1"/>
  <c r="O144" i="1" s="1"/>
  <c r="L145" i="1"/>
  <c r="O145" i="1" s="1"/>
  <c r="L146" i="1"/>
  <c r="O146" i="1" s="1"/>
  <c r="L147" i="1"/>
  <c r="O147" i="1" s="1"/>
  <c r="L148" i="1"/>
  <c r="O148" i="1" s="1"/>
  <c r="L149" i="1"/>
  <c r="O149" i="1" s="1"/>
  <c r="L150" i="1"/>
  <c r="O150" i="1" s="1"/>
  <c r="L151" i="1"/>
  <c r="O151" i="1" s="1"/>
  <c r="L152" i="1"/>
  <c r="O152" i="1" s="1"/>
  <c r="L153" i="1"/>
  <c r="O153" i="1" s="1"/>
  <c r="L154" i="1"/>
  <c r="O154" i="1" s="1"/>
  <c r="L155" i="1"/>
  <c r="O155" i="1" s="1"/>
  <c r="L156" i="1"/>
  <c r="O156" i="1" s="1"/>
  <c r="L157" i="1"/>
  <c r="O157" i="1" s="1"/>
  <c r="L158" i="1"/>
  <c r="O158" i="1" s="1"/>
  <c r="L159" i="1"/>
  <c r="O159" i="1" s="1"/>
  <c r="L160" i="1"/>
  <c r="O160" i="1" s="1"/>
  <c r="L161" i="1"/>
  <c r="O161" i="1" s="1"/>
  <c r="L162" i="1"/>
  <c r="O162" i="1" s="1"/>
  <c r="L163" i="1"/>
  <c r="O163" i="1" s="1"/>
  <c r="L164" i="1"/>
  <c r="O164" i="1" s="1"/>
  <c r="L165" i="1"/>
  <c r="O165" i="1" s="1"/>
  <c r="L166" i="1"/>
  <c r="O166" i="1" s="1"/>
  <c r="L167" i="1"/>
  <c r="O167" i="1" s="1"/>
  <c r="L168" i="1"/>
  <c r="O168" i="1" s="1"/>
  <c r="L169" i="1"/>
  <c r="O169" i="1" s="1"/>
  <c r="L170" i="1"/>
  <c r="O170" i="1" s="1"/>
  <c r="L171" i="1"/>
  <c r="O171" i="1" s="1"/>
  <c r="L172" i="1"/>
  <c r="O172" i="1" s="1"/>
  <c r="L173" i="1"/>
  <c r="O173" i="1" s="1"/>
  <c r="L174" i="1"/>
  <c r="O174" i="1" s="1"/>
  <c r="L175" i="1"/>
  <c r="O175" i="1" s="1"/>
  <c r="L176" i="1"/>
  <c r="O176" i="1" s="1"/>
  <c r="L177" i="1"/>
  <c r="O177" i="1" s="1"/>
  <c r="L178" i="1"/>
  <c r="O178" i="1" s="1"/>
  <c r="L179" i="1"/>
  <c r="O179" i="1" s="1"/>
  <c r="L180" i="1"/>
  <c r="O180" i="1" s="1"/>
  <c r="L181" i="1"/>
  <c r="O181" i="1" s="1"/>
  <c r="L182" i="1"/>
  <c r="O182" i="1" s="1"/>
  <c r="L183" i="1"/>
  <c r="O183" i="1" s="1"/>
  <c r="L184" i="1"/>
  <c r="O184" i="1" s="1"/>
  <c r="L185" i="1"/>
  <c r="O185" i="1" s="1"/>
  <c r="L186" i="1"/>
  <c r="O186" i="1" s="1"/>
  <c r="L187" i="1"/>
  <c r="O187" i="1" s="1"/>
  <c r="L188" i="1"/>
  <c r="O188" i="1" s="1"/>
  <c r="L189" i="1"/>
  <c r="O189" i="1" s="1"/>
  <c r="L190" i="1"/>
  <c r="O190" i="1" s="1"/>
  <c r="L191" i="1"/>
  <c r="O191" i="1" s="1"/>
  <c r="L192" i="1"/>
  <c r="O192" i="1" s="1"/>
  <c r="L193" i="1"/>
  <c r="O193" i="1" s="1"/>
  <c r="L194" i="1"/>
  <c r="O194" i="1" s="1"/>
  <c r="L195" i="1"/>
  <c r="O195" i="1" s="1"/>
  <c r="L196" i="1"/>
  <c r="O196" i="1" s="1"/>
  <c r="L197" i="1"/>
  <c r="O197" i="1" s="1"/>
  <c r="L198" i="1"/>
  <c r="O198" i="1" s="1"/>
  <c r="L199" i="1"/>
  <c r="O199" i="1" s="1"/>
  <c r="L200" i="1"/>
  <c r="O200" i="1" s="1"/>
  <c r="L201" i="1"/>
  <c r="O201" i="1" s="1"/>
  <c r="L202" i="1"/>
  <c r="O202" i="1" s="1"/>
  <c r="L203" i="1"/>
  <c r="O203" i="1" s="1"/>
  <c r="L204" i="1"/>
  <c r="O204" i="1" s="1"/>
  <c r="L205" i="1"/>
  <c r="O205" i="1" s="1"/>
  <c r="L206" i="1"/>
  <c r="O206" i="1" s="1"/>
  <c r="L207" i="1"/>
  <c r="O207" i="1" s="1"/>
  <c r="L208" i="1"/>
  <c r="O208" i="1" s="1"/>
  <c r="L209" i="1"/>
  <c r="O209" i="1" s="1"/>
  <c r="L210" i="1"/>
  <c r="O210" i="1" s="1"/>
  <c r="L211" i="1"/>
  <c r="O211" i="1" s="1"/>
  <c r="L212" i="1"/>
  <c r="O212" i="1" s="1"/>
  <c r="L213" i="1"/>
  <c r="O213" i="1" s="1"/>
  <c r="L214" i="1"/>
  <c r="O214" i="1" s="1"/>
  <c r="L215" i="1"/>
  <c r="O215" i="1" s="1"/>
  <c r="L216" i="1"/>
  <c r="O216" i="1" s="1"/>
  <c r="L217" i="1"/>
  <c r="O217" i="1" s="1"/>
  <c r="L218" i="1"/>
  <c r="O218" i="1" s="1"/>
  <c r="L219" i="1"/>
  <c r="O219" i="1" s="1"/>
  <c r="L220" i="1"/>
  <c r="O220" i="1" s="1"/>
  <c r="L221" i="1"/>
  <c r="O221" i="1" s="1"/>
  <c r="L222" i="1"/>
  <c r="O222" i="1" s="1"/>
  <c r="L223" i="1"/>
  <c r="O223" i="1" s="1"/>
  <c r="L224" i="1"/>
  <c r="O224" i="1" s="1"/>
  <c r="L225" i="1"/>
  <c r="O225" i="1" s="1"/>
  <c r="L226" i="1"/>
  <c r="O226" i="1" s="1"/>
  <c r="L227" i="1"/>
  <c r="O227" i="1" s="1"/>
  <c r="L228" i="1"/>
  <c r="O228" i="1" s="1"/>
  <c r="L229" i="1"/>
  <c r="O229" i="1" s="1"/>
  <c r="L230" i="1"/>
  <c r="O230" i="1" s="1"/>
  <c r="L231" i="1"/>
  <c r="O231" i="1" s="1"/>
  <c r="L232" i="1"/>
  <c r="O232" i="1" s="1"/>
  <c r="L233" i="1"/>
  <c r="O233" i="1" s="1"/>
  <c r="L234" i="1"/>
  <c r="O234" i="1" s="1"/>
  <c r="L235" i="1"/>
  <c r="O235" i="1" s="1"/>
  <c r="L236" i="1"/>
  <c r="O236" i="1" s="1"/>
  <c r="L237" i="1"/>
  <c r="O237" i="1" s="1"/>
  <c r="L238" i="1"/>
  <c r="O238" i="1" s="1"/>
  <c r="L239" i="1"/>
  <c r="O239" i="1" s="1"/>
  <c r="L240" i="1"/>
  <c r="O240" i="1" s="1"/>
  <c r="L241" i="1"/>
  <c r="O241" i="1" s="1"/>
  <c r="L242" i="1"/>
  <c r="O242" i="1" s="1"/>
  <c r="L243" i="1"/>
  <c r="O243" i="1" s="1"/>
  <c r="L244" i="1"/>
  <c r="O244" i="1" s="1"/>
  <c r="L245" i="1"/>
  <c r="O245" i="1" s="1"/>
  <c r="L246" i="1"/>
  <c r="O246" i="1" s="1"/>
  <c r="L247" i="1"/>
  <c r="O247" i="1" s="1"/>
  <c r="L248" i="1"/>
  <c r="O248" i="1" s="1"/>
  <c r="L249" i="1"/>
  <c r="O249" i="1" s="1"/>
  <c r="L250" i="1"/>
  <c r="O250" i="1" s="1"/>
  <c r="L251" i="1"/>
  <c r="O251" i="1" s="1"/>
  <c r="L252" i="1"/>
  <c r="O252" i="1" s="1"/>
  <c r="L253" i="1"/>
  <c r="O253" i="1" s="1"/>
  <c r="L254" i="1"/>
  <c r="O254" i="1" s="1"/>
  <c r="L255" i="1"/>
  <c r="O255" i="1" s="1"/>
  <c r="L256" i="1"/>
  <c r="O256" i="1" s="1"/>
  <c r="L257" i="1"/>
  <c r="O257" i="1" s="1"/>
  <c r="L258" i="1"/>
  <c r="O258" i="1" s="1"/>
  <c r="L259" i="1"/>
  <c r="O259" i="1" s="1"/>
  <c r="L260" i="1"/>
  <c r="O260" i="1" s="1"/>
  <c r="L261" i="1"/>
  <c r="O261" i="1" s="1"/>
  <c r="L262" i="1"/>
  <c r="O262" i="1" s="1"/>
  <c r="L263" i="1"/>
  <c r="O263" i="1" s="1"/>
  <c r="L264" i="1"/>
  <c r="O264" i="1" s="1"/>
  <c r="L265" i="1"/>
  <c r="O265" i="1" s="1"/>
  <c r="L266" i="1"/>
  <c r="O266" i="1" s="1"/>
  <c r="L267" i="1"/>
  <c r="O267" i="1" s="1"/>
  <c r="L268" i="1"/>
  <c r="O268" i="1" s="1"/>
  <c r="L269" i="1"/>
  <c r="O269" i="1" s="1"/>
  <c r="L270" i="1"/>
  <c r="O270" i="1" s="1"/>
  <c r="L271" i="1"/>
  <c r="O271" i="1" s="1"/>
  <c r="L272" i="1"/>
  <c r="O272" i="1" s="1"/>
  <c r="L273" i="1"/>
  <c r="O273" i="1" s="1"/>
  <c r="L274" i="1"/>
  <c r="O274" i="1" s="1"/>
  <c r="L275" i="1"/>
  <c r="O275" i="1" s="1"/>
  <c r="L276" i="1"/>
  <c r="O276" i="1" s="1"/>
  <c r="L277" i="1"/>
  <c r="O277" i="1" s="1"/>
  <c r="L278" i="1"/>
  <c r="O278" i="1" s="1"/>
  <c r="L279" i="1"/>
  <c r="O279" i="1" s="1"/>
  <c r="L280" i="1"/>
  <c r="O280" i="1" s="1"/>
  <c r="L281" i="1"/>
  <c r="O281" i="1" s="1"/>
  <c r="L282" i="1"/>
  <c r="O282" i="1" s="1"/>
  <c r="L283" i="1"/>
  <c r="O283" i="1" s="1"/>
  <c r="L284" i="1"/>
  <c r="O284" i="1" s="1"/>
  <c r="L285" i="1"/>
  <c r="O285" i="1" s="1"/>
  <c r="L286" i="1"/>
  <c r="O286" i="1" s="1"/>
  <c r="L287" i="1"/>
  <c r="O287" i="1" s="1"/>
  <c r="L288" i="1"/>
  <c r="O288" i="1" s="1"/>
  <c r="L289" i="1"/>
  <c r="O289" i="1" s="1"/>
  <c r="L290" i="1"/>
  <c r="O290" i="1" s="1"/>
  <c r="L291" i="1"/>
  <c r="O291" i="1" s="1"/>
  <c r="L292" i="1"/>
  <c r="O292" i="1" s="1"/>
  <c r="L293" i="1"/>
  <c r="O293" i="1" s="1"/>
  <c r="L294" i="1"/>
  <c r="O294" i="1" s="1"/>
  <c r="L295" i="1"/>
  <c r="O295" i="1" s="1"/>
  <c r="L296" i="1"/>
  <c r="O296" i="1" s="1"/>
  <c r="L297" i="1"/>
  <c r="O297" i="1" s="1"/>
  <c r="L298" i="1"/>
  <c r="O298" i="1" s="1"/>
  <c r="L299" i="1"/>
  <c r="O299" i="1" s="1"/>
  <c r="L300" i="1"/>
  <c r="O300" i="1" s="1"/>
  <c r="L301" i="1"/>
  <c r="O301" i="1" s="1"/>
  <c r="L302" i="1"/>
  <c r="O302" i="1" s="1"/>
  <c r="L303" i="1"/>
  <c r="O303" i="1" s="1"/>
  <c r="L304" i="1"/>
  <c r="O304" i="1" s="1"/>
  <c r="L305" i="1"/>
  <c r="O305" i="1" s="1"/>
  <c r="L306" i="1"/>
  <c r="O306" i="1" s="1"/>
  <c r="L307" i="1"/>
  <c r="O307" i="1" s="1"/>
  <c r="L308" i="1"/>
  <c r="O308" i="1" s="1"/>
  <c r="L309" i="1"/>
  <c r="O309" i="1" s="1"/>
  <c r="L310" i="1"/>
  <c r="O310" i="1" s="1"/>
  <c r="L311" i="1"/>
  <c r="O311" i="1" s="1"/>
  <c r="L312" i="1"/>
  <c r="O312" i="1" s="1"/>
  <c r="L313" i="1"/>
  <c r="O313" i="1" s="1"/>
  <c r="L314" i="1"/>
  <c r="O314" i="1" s="1"/>
  <c r="L315" i="1"/>
  <c r="O315" i="1" s="1"/>
  <c r="L316" i="1"/>
  <c r="O316" i="1" s="1"/>
  <c r="L317" i="1"/>
  <c r="O317" i="1" s="1"/>
  <c r="L318" i="1"/>
  <c r="O318" i="1" s="1"/>
  <c r="L319" i="1"/>
  <c r="O319" i="1" s="1"/>
  <c r="L320" i="1"/>
  <c r="O320" i="1" s="1"/>
  <c r="L321" i="1"/>
  <c r="O321" i="1" s="1"/>
  <c r="L322" i="1"/>
  <c r="O322" i="1" s="1"/>
  <c r="L323" i="1"/>
  <c r="O323" i="1" s="1"/>
  <c r="L324" i="1"/>
  <c r="O324" i="1" s="1"/>
  <c r="L325" i="1"/>
  <c r="O325" i="1" s="1"/>
  <c r="L326" i="1"/>
  <c r="O326" i="1" s="1"/>
  <c r="L327" i="1"/>
  <c r="O327" i="1" s="1"/>
  <c r="L328" i="1"/>
  <c r="O328" i="1" s="1"/>
  <c r="L329" i="1"/>
  <c r="O329" i="1" s="1"/>
  <c r="L330" i="1"/>
  <c r="O330" i="1" s="1"/>
  <c r="L331" i="1"/>
  <c r="O331" i="1" s="1"/>
  <c r="L332" i="1"/>
  <c r="O332" i="1" s="1"/>
  <c r="L333" i="1"/>
  <c r="O333" i="1" s="1"/>
  <c r="L334" i="1"/>
  <c r="O334" i="1" s="1"/>
  <c r="L335" i="1"/>
  <c r="O335" i="1" s="1"/>
  <c r="L336" i="1"/>
  <c r="O336" i="1" s="1"/>
  <c r="L337" i="1"/>
  <c r="O337" i="1" s="1"/>
  <c r="L338" i="1"/>
  <c r="O338" i="1" s="1"/>
  <c r="L339" i="1"/>
  <c r="O339" i="1" s="1"/>
  <c r="L340" i="1"/>
  <c r="O340" i="1" s="1"/>
  <c r="L341" i="1"/>
  <c r="O341" i="1" s="1"/>
  <c r="L342" i="1"/>
  <c r="O342" i="1" s="1"/>
  <c r="L343" i="1"/>
  <c r="O343" i="1" s="1"/>
  <c r="L344" i="1"/>
  <c r="O344" i="1" s="1"/>
  <c r="L345" i="1"/>
  <c r="O345" i="1" s="1"/>
  <c r="L346" i="1"/>
  <c r="O346" i="1" s="1"/>
  <c r="L347" i="1"/>
  <c r="O347" i="1" s="1"/>
  <c r="L348" i="1"/>
  <c r="O348" i="1" s="1"/>
  <c r="L349" i="1"/>
  <c r="O349" i="1" s="1"/>
  <c r="L350" i="1"/>
  <c r="O350" i="1" s="1"/>
  <c r="L351" i="1"/>
  <c r="O351" i="1" s="1"/>
  <c r="L352" i="1"/>
  <c r="O352" i="1" s="1"/>
  <c r="L353" i="1"/>
  <c r="O353" i="1" s="1"/>
  <c r="L354" i="1"/>
  <c r="O354" i="1" s="1"/>
  <c r="L355" i="1"/>
  <c r="O355" i="1" s="1"/>
  <c r="L356" i="1"/>
  <c r="O356" i="1" s="1"/>
  <c r="L357" i="1"/>
  <c r="O357" i="1" s="1"/>
  <c r="L358" i="1"/>
  <c r="O358" i="1" s="1"/>
  <c r="L359" i="1"/>
  <c r="O359" i="1" s="1"/>
  <c r="L360" i="1"/>
  <c r="O360" i="1" s="1"/>
  <c r="L361" i="1"/>
  <c r="O361" i="1" s="1"/>
  <c r="L362" i="1"/>
  <c r="O362" i="1" s="1"/>
  <c r="L363" i="1"/>
  <c r="O363" i="1" s="1"/>
  <c r="L364" i="1"/>
  <c r="O364" i="1" s="1"/>
  <c r="L365" i="1"/>
  <c r="O365" i="1" s="1"/>
  <c r="L366" i="1"/>
  <c r="O366" i="1" s="1"/>
  <c r="L367" i="1"/>
  <c r="O367" i="1" s="1"/>
  <c r="L368" i="1"/>
  <c r="O368" i="1" s="1"/>
  <c r="L369" i="1"/>
  <c r="O369" i="1" s="1"/>
  <c r="L370" i="1"/>
  <c r="O370" i="1" s="1"/>
  <c r="L371" i="1"/>
  <c r="O371" i="1" s="1"/>
  <c r="L372" i="1"/>
  <c r="O372" i="1" s="1"/>
  <c r="L373" i="1"/>
  <c r="O373" i="1" s="1"/>
  <c r="L374" i="1"/>
  <c r="O374" i="1" s="1"/>
  <c r="L375" i="1"/>
  <c r="O375" i="1" s="1"/>
  <c r="L376" i="1"/>
  <c r="O376" i="1" s="1"/>
  <c r="L377" i="1"/>
  <c r="O377" i="1" s="1"/>
  <c r="L378" i="1"/>
  <c r="O378" i="1" s="1"/>
  <c r="L379" i="1"/>
  <c r="O379" i="1" s="1"/>
  <c r="L380" i="1"/>
  <c r="O380" i="1" s="1"/>
  <c r="L381" i="1"/>
  <c r="O381" i="1" s="1"/>
  <c r="L382" i="1"/>
  <c r="O382" i="1" s="1"/>
  <c r="L383" i="1"/>
  <c r="O383" i="1" s="1"/>
  <c r="L384" i="1"/>
  <c r="O384" i="1" s="1"/>
  <c r="L385" i="1"/>
  <c r="O385" i="1" s="1"/>
  <c r="L386" i="1"/>
  <c r="O386" i="1" s="1"/>
  <c r="L387" i="1"/>
  <c r="O387" i="1" s="1"/>
  <c r="L388" i="1"/>
  <c r="O388" i="1" s="1"/>
  <c r="L389" i="1"/>
  <c r="O389" i="1" s="1"/>
  <c r="L390" i="1"/>
  <c r="O390" i="1" s="1"/>
  <c r="L391" i="1"/>
  <c r="O391" i="1" s="1"/>
  <c r="L392" i="1"/>
  <c r="O392" i="1" s="1"/>
  <c r="L393" i="1"/>
  <c r="O393" i="1" s="1"/>
  <c r="L394" i="1"/>
  <c r="O394" i="1" s="1"/>
  <c r="L395" i="1"/>
  <c r="O395" i="1" s="1"/>
  <c r="L396" i="1"/>
  <c r="O396" i="1" s="1"/>
  <c r="L397" i="1"/>
  <c r="O397" i="1" s="1"/>
  <c r="L398" i="1"/>
  <c r="O398" i="1" s="1"/>
  <c r="L399" i="1"/>
  <c r="O399" i="1" s="1"/>
  <c r="L400" i="1"/>
  <c r="O400" i="1" s="1"/>
  <c r="L401" i="1"/>
  <c r="O401" i="1" s="1"/>
  <c r="L402" i="1"/>
  <c r="O402" i="1" s="1"/>
  <c r="L403" i="1"/>
  <c r="O403" i="1" s="1"/>
  <c r="L404" i="1"/>
  <c r="O404" i="1" s="1"/>
  <c r="L405" i="1"/>
  <c r="O405" i="1" s="1"/>
  <c r="L406" i="1"/>
  <c r="O406" i="1" s="1"/>
  <c r="L407" i="1"/>
  <c r="O407" i="1" s="1"/>
  <c r="L408" i="1"/>
  <c r="O408" i="1" s="1"/>
  <c r="L409" i="1"/>
  <c r="O409" i="1" s="1"/>
  <c r="L410" i="1"/>
  <c r="O410" i="1" s="1"/>
  <c r="L411" i="1"/>
  <c r="O411" i="1" s="1"/>
  <c r="L412" i="1"/>
  <c r="O412" i="1" s="1"/>
  <c r="L413" i="1"/>
  <c r="O413" i="1" s="1"/>
  <c r="L414" i="1"/>
  <c r="O414" i="1" s="1"/>
  <c r="L415" i="1"/>
  <c r="O415" i="1" s="1"/>
  <c r="L416" i="1"/>
  <c r="O416" i="1" s="1"/>
  <c r="L417" i="1"/>
  <c r="O417" i="1" s="1"/>
  <c r="L418" i="1"/>
  <c r="O418" i="1" s="1"/>
  <c r="L419" i="1"/>
  <c r="O419" i="1" s="1"/>
  <c r="L420" i="1"/>
  <c r="O420" i="1" s="1"/>
  <c r="L421" i="1"/>
  <c r="O421" i="1" s="1"/>
  <c r="L422" i="1"/>
  <c r="O422" i="1" s="1"/>
  <c r="L423" i="1"/>
  <c r="O423" i="1" s="1"/>
  <c r="L424" i="1"/>
  <c r="O424" i="1" s="1"/>
  <c r="L425" i="1"/>
  <c r="O425" i="1" s="1"/>
  <c r="L426" i="1"/>
  <c r="O426" i="1" s="1"/>
  <c r="L427" i="1"/>
  <c r="O427" i="1" s="1"/>
  <c r="L428" i="1"/>
  <c r="O428" i="1" s="1"/>
  <c r="L429" i="1"/>
  <c r="O429" i="1" s="1"/>
  <c r="L430" i="1"/>
  <c r="O430" i="1" s="1"/>
  <c r="L431" i="1"/>
  <c r="O431" i="1" s="1"/>
  <c r="L432" i="1"/>
  <c r="O432" i="1" s="1"/>
  <c r="L433" i="1"/>
  <c r="O433" i="1" s="1"/>
  <c r="L434" i="1"/>
  <c r="O434" i="1" s="1"/>
  <c r="L435" i="1"/>
  <c r="O435" i="1" s="1"/>
  <c r="L436" i="1"/>
  <c r="O436" i="1" s="1"/>
  <c r="L437" i="1"/>
  <c r="O437" i="1" s="1"/>
  <c r="L438" i="1"/>
  <c r="O438" i="1" s="1"/>
  <c r="L439" i="1"/>
  <c r="O439" i="1" s="1"/>
  <c r="L440" i="1"/>
  <c r="O440" i="1" s="1"/>
  <c r="L441" i="1"/>
  <c r="O441" i="1" s="1"/>
  <c r="L442" i="1"/>
  <c r="O442" i="1" s="1"/>
  <c r="L443" i="1"/>
  <c r="O443" i="1" s="1"/>
  <c r="L444" i="1"/>
  <c r="O444" i="1" s="1"/>
  <c r="L445" i="1"/>
  <c r="O445" i="1" s="1"/>
  <c r="L446" i="1"/>
  <c r="O446" i="1" s="1"/>
  <c r="L447" i="1"/>
  <c r="O447" i="1" s="1"/>
  <c r="L448" i="1"/>
  <c r="O448" i="1" s="1"/>
  <c r="L449" i="1"/>
  <c r="O449" i="1" s="1"/>
  <c r="L450" i="1"/>
  <c r="O450" i="1" s="1"/>
  <c r="L451" i="1"/>
  <c r="O451" i="1" s="1"/>
  <c r="L452" i="1"/>
  <c r="O452" i="1" s="1"/>
  <c r="L453" i="1"/>
  <c r="O453" i="1" s="1"/>
  <c r="L454" i="1"/>
  <c r="O454" i="1" s="1"/>
  <c r="L455" i="1"/>
  <c r="O455" i="1" s="1"/>
  <c r="L456" i="1"/>
  <c r="O456" i="1" s="1"/>
  <c r="L457" i="1"/>
  <c r="O457" i="1" s="1"/>
  <c r="L458" i="1"/>
  <c r="O458" i="1" s="1"/>
  <c r="L459" i="1"/>
  <c r="O459" i="1" s="1"/>
  <c r="L460" i="1"/>
  <c r="O460" i="1" s="1"/>
  <c r="L461" i="1"/>
  <c r="O461" i="1" s="1"/>
  <c r="L462" i="1"/>
  <c r="O462" i="1" s="1"/>
  <c r="L463" i="1"/>
  <c r="O463" i="1" s="1"/>
  <c r="L464" i="1"/>
  <c r="O464" i="1" s="1"/>
  <c r="L465" i="1"/>
  <c r="O465" i="1" s="1"/>
  <c r="L466" i="1"/>
  <c r="O466" i="1" s="1"/>
  <c r="L467" i="1"/>
  <c r="O467" i="1" s="1"/>
  <c r="L468" i="1"/>
  <c r="O468" i="1" s="1"/>
  <c r="L469" i="1"/>
  <c r="O469" i="1" s="1"/>
  <c r="L470" i="1"/>
  <c r="O470" i="1" s="1"/>
  <c r="L471" i="1"/>
  <c r="O471" i="1" s="1"/>
  <c r="L472" i="1"/>
  <c r="O472" i="1" s="1"/>
  <c r="L473" i="1"/>
  <c r="O473" i="1" s="1"/>
  <c r="L474" i="1"/>
  <c r="O474" i="1" s="1"/>
  <c r="L475" i="1"/>
  <c r="O475" i="1" s="1"/>
  <c r="L476" i="1"/>
  <c r="O476" i="1" s="1"/>
  <c r="L477" i="1"/>
  <c r="O477" i="1" s="1"/>
  <c r="L478" i="1"/>
  <c r="O478" i="1" s="1"/>
  <c r="L479" i="1"/>
  <c r="O479" i="1" s="1"/>
  <c r="L480" i="1"/>
  <c r="O480" i="1" s="1"/>
  <c r="L481" i="1"/>
  <c r="O481" i="1" s="1"/>
  <c r="L482" i="1"/>
  <c r="O482" i="1" s="1"/>
  <c r="L483" i="1"/>
  <c r="O483" i="1" s="1"/>
  <c r="L484" i="1"/>
  <c r="O484" i="1" s="1"/>
  <c r="L485" i="1"/>
  <c r="O485" i="1" s="1"/>
  <c r="L486" i="1"/>
  <c r="O486" i="1" s="1"/>
  <c r="L487" i="1"/>
  <c r="O487" i="1" s="1"/>
  <c r="L488" i="1"/>
  <c r="O488" i="1" s="1"/>
  <c r="L489" i="1"/>
  <c r="O489" i="1" s="1"/>
  <c r="L490" i="1"/>
  <c r="O490" i="1" s="1"/>
  <c r="L491" i="1"/>
  <c r="O491" i="1" s="1"/>
  <c r="L492" i="1"/>
  <c r="O492" i="1" s="1"/>
  <c r="L493" i="1"/>
  <c r="O493" i="1" s="1"/>
  <c r="L494" i="1"/>
  <c r="O494" i="1" s="1"/>
  <c r="L495" i="1"/>
  <c r="O495" i="1" s="1"/>
  <c r="L496" i="1"/>
  <c r="O496" i="1" s="1"/>
  <c r="L497" i="1"/>
  <c r="O497" i="1" s="1"/>
  <c r="L498" i="1"/>
  <c r="O498" i="1" s="1"/>
  <c r="L499" i="1"/>
  <c r="O499" i="1" s="1"/>
  <c r="L500" i="1"/>
  <c r="O500" i="1" s="1"/>
  <c r="L501" i="1"/>
  <c r="O501"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alcChain>
</file>

<file path=xl/sharedStrings.xml><?xml version="1.0" encoding="utf-8"?>
<sst xmlns="http://schemas.openxmlformats.org/spreadsheetml/2006/main" count="1546" uniqueCount="538">
  <si>
    <t>Site_ID</t>
  </si>
  <si>
    <t>Region</t>
  </si>
  <si>
    <t>Equipment_Type</t>
  </si>
  <si>
    <t>Required_Qty</t>
  </si>
  <si>
    <t>Available_Qty</t>
  </si>
  <si>
    <t>Ordered_Qty</t>
  </si>
  <si>
    <t>Unit_Cost</t>
  </si>
  <si>
    <t>Lead_Time_Days</t>
  </si>
  <si>
    <t>Order_Date</t>
  </si>
  <si>
    <t>Shortage</t>
  </si>
  <si>
    <t>Excess</t>
  </si>
  <si>
    <t>Total_Order_Cost</t>
  </si>
  <si>
    <t>Site_0</t>
  </si>
  <si>
    <t>Site_1</t>
  </si>
  <si>
    <t>Site_2</t>
  </si>
  <si>
    <t>Site_3</t>
  </si>
  <si>
    <t>Site_4</t>
  </si>
  <si>
    <t>Site_5</t>
  </si>
  <si>
    <t>Site_6</t>
  </si>
  <si>
    <t>Site_7</t>
  </si>
  <si>
    <t>Site_8</t>
  </si>
  <si>
    <t>Site_9</t>
  </si>
  <si>
    <t>Site_10</t>
  </si>
  <si>
    <t>Site_11</t>
  </si>
  <si>
    <t>Site_12</t>
  </si>
  <si>
    <t>Site_13</t>
  </si>
  <si>
    <t>Site_14</t>
  </si>
  <si>
    <t>Site_15</t>
  </si>
  <si>
    <t>Site_16</t>
  </si>
  <si>
    <t>Site_17</t>
  </si>
  <si>
    <t>Site_18</t>
  </si>
  <si>
    <t>Site_19</t>
  </si>
  <si>
    <t>Site_20</t>
  </si>
  <si>
    <t>Site_21</t>
  </si>
  <si>
    <t>Site_22</t>
  </si>
  <si>
    <t>Site_23</t>
  </si>
  <si>
    <t>Site_24</t>
  </si>
  <si>
    <t>Site_25</t>
  </si>
  <si>
    <t>Site_26</t>
  </si>
  <si>
    <t>Site_27</t>
  </si>
  <si>
    <t>Site_28</t>
  </si>
  <si>
    <t>Site_29</t>
  </si>
  <si>
    <t>Site_30</t>
  </si>
  <si>
    <t>Site_31</t>
  </si>
  <si>
    <t>Site_32</t>
  </si>
  <si>
    <t>Site_33</t>
  </si>
  <si>
    <t>Site_34</t>
  </si>
  <si>
    <t>Site_35</t>
  </si>
  <si>
    <t>Site_36</t>
  </si>
  <si>
    <t>Site_37</t>
  </si>
  <si>
    <t>Site_38</t>
  </si>
  <si>
    <t>Site_39</t>
  </si>
  <si>
    <t>Site_40</t>
  </si>
  <si>
    <t>Site_41</t>
  </si>
  <si>
    <t>Site_42</t>
  </si>
  <si>
    <t>Site_43</t>
  </si>
  <si>
    <t>Site_44</t>
  </si>
  <si>
    <t>Site_45</t>
  </si>
  <si>
    <t>Site_46</t>
  </si>
  <si>
    <t>Site_47</t>
  </si>
  <si>
    <t>Site_48</t>
  </si>
  <si>
    <t>Site_49</t>
  </si>
  <si>
    <t>Site_50</t>
  </si>
  <si>
    <t>Site_51</t>
  </si>
  <si>
    <t>Site_52</t>
  </si>
  <si>
    <t>Site_53</t>
  </si>
  <si>
    <t>Site_54</t>
  </si>
  <si>
    <t>Site_55</t>
  </si>
  <si>
    <t>Site_56</t>
  </si>
  <si>
    <t>Site_57</t>
  </si>
  <si>
    <t>Site_58</t>
  </si>
  <si>
    <t>Site_59</t>
  </si>
  <si>
    <t>Site_60</t>
  </si>
  <si>
    <t>Site_61</t>
  </si>
  <si>
    <t>Site_62</t>
  </si>
  <si>
    <t>Site_63</t>
  </si>
  <si>
    <t>Site_64</t>
  </si>
  <si>
    <t>Site_65</t>
  </si>
  <si>
    <t>Site_66</t>
  </si>
  <si>
    <t>Site_67</t>
  </si>
  <si>
    <t>Site_68</t>
  </si>
  <si>
    <t>Site_69</t>
  </si>
  <si>
    <t>Site_70</t>
  </si>
  <si>
    <t>Site_71</t>
  </si>
  <si>
    <t>Site_72</t>
  </si>
  <si>
    <t>Site_73</t>
  </si>
  <si>
    <t>Site_74</t>
  </si>
  <si>
    <t>Site_75</t>
  </si>
  <si>
    <t>Site_76</t>
  </si>
  <si>
    <t>Site_77</t>
  </si>
  <si>
    <t>Site_78</t>
  </si>
  <si>
    <t>Site_79</t>
  </si>
  <si>
    <t>Site_80</t>
  </si>
  <si>
    <t>Site_81</t>
  </si>
  <si>
    <t>Site_82</t>
  </si>
  <si>
    <t>Site_83</t>
  </si>
  <si>
    <t>Site_84</t>
  </si>
  <si>
    <t>Site_85</t>
  </si>
  <si>
    <t>Site_86</t>
  </si>
  <si>
    <t>Site_87</t>
  </si>
  <si>
    <t>Site_88</t>
  </si>
  <si>
    <t>Site_89</t>
  </si>
  <si>
    <t>Site_90</t>
  </si>
  <si>
    <t>Site_91</t>
  </si>
  <si>
    <t>Site_92</t>
  </si>
  <si>
    <t>Site_93</t>
  </si>
  <si>
    <t>Site_94</t>
  </si>
  <si>
    <t>Site_95</t>
  </si>
  <si>
    <t>Site_96</t>
  </si>
  <si>
    <t>Site_97</t>
  </si>
  <si>
    <t>Site_98</t>
  </si>
  <si>
    <t>Site_99</t>
  </si>
  <si>
    <t>Site_100</t>
  </si>
  <si>
    <t>Site_101</t>
  </si>
  <si>
    <t>Site_102</t>
  </si>
  <si>
    <t>Site_103</t>
  </si>
  <si>
    <t>Site_104</t>
  </si>
  <si>
    <t>Site_105</t>
  </si>
  <si>
    <t>Site_106</t>
  </si>
  <si>
    <t>Site_107</t>
  </si>
  <si>
    <t>Site_108</t>
  </si>
  <si>
    <t>Site_109</t>
  </si>
  <si>
    <t>Site_110</t>
  </si>
  <si>
    <t>Site_111</t>
  </si>
  <si>
    <t>Site_112</t>
  </si>
  <si>
    <t>Site_113</t>
  </si>
  <si>
    <t>Site_114</t>
  </si>
  <si>
    <t>Site_115</t>
  </si>
  <si>
    <t>Site_116</t>
  </si>
  <si>
    <t>Site_117</t>
  </si>
  <si>
    <t>Site_118</t>
  </si>
  <si>
    <t>Site_119</t>
  </si>
  <si>
    <t>Site_120</t>
  </si>
  <si>
    <t>Site_121</t>
  </si>
  <si>
    <t>Site_122</t>
  </si>
  <si>
    <t>Site_123</t>
  </si>
  <si>
    <t>Site_124</t>
  </si>
  <si>
    <t>Site_125</t>
  </si>
  <si>
    <t>Site_126</t>
  </si>
  <si>
    <t>Site_127</t>
  </si>
  <si>
    <t>Site_128</t>
  </si>
  <si>
    <t>Site_129</t>
  </si>
  <si>
    <t>Site_130</t>
  </si>
  <si>
    <t>Site_131</t>
  </si>
  <si>
    <t>Site_132</t>
  </si>
  <si>
    <t>Site_133</t>
  </si>
  <si>
    <t>Site_134</t>
  </si>
  <si>
    <t>Site_135</t>
  </si>
  <si>
    <t>Site_136</t>
  </si>
  <si>
    <t>Site_137</t>
  </si>
  <si>
    <t>Site_138</t>
  </si>
  <si>
    <t>Site_139</t>
  </si>
  <si>
    <t>Site_140</t>
  </si>
  <si>
    <t>Site_141</t>
  </si>
  <si>
    <t>Site_142</t>
  </si>
  <si>
    <t>Site_143</t>
  </si>
  <si>
    <t>Site_144</t>
  </si>
  <si>
    <t>Site_145</t>
  </si>
  <si>
    <t>Site_146</t>
  </si>
  <si>
    <t>Site_147</t>
  </si>
  <si>
    <t>Site_148</t>
  </si>
  <si>
    <t>Site_149</t>
  </si>
  <si>
    <t>Site_150</t>
  </si>
  <si>
    <t>Site_151</t>
  </si>
  <si>
    <t>Site_152</t>
  </si>
  <si>
    <t>Site_153</t>
  </si>
  <si>
    <t>Site_154</t>
  </si>
  <si>
    <t>Site_155</t>
  </si>
  <si>
    <t>Site_156</t>
  </si>
  <si>
    <t>Site_157</t>
  </si>
  <si>
    <t>Site_158</t>
  </si>
  <si>
    <t>Site_159</t>
  </si>
  <si>
    <t>Site_160</t>
  </si>
  <si>
    <t>Site_161</t>
  </si>
  <si>
    <t>Site_162</t>
  </si>
  <si>
    <t>Site_163</t>
  </si>
  <si>
    <t>Site_164</t>
  </si>
  <si>
    <t>Site_165</t>
  </si>
  <si>
    <t>Site_166</t>
  </si>
  <si>
    <t>Site_167</t>
  </si>
  <si>
    <t>Site_168</t>
  </si>
  <si>
    <t>Site_169</t>
  </si>
  <si>
    <t>Site_170</t>
  </si>
  <si>
    <t>Site_171</t>
  </si>
  <si>
    <t>Site_172</t>
  </si>
  <si>
    <t>Site_173</t>
  </si>
  <si>
    <t>Site_174</t>
  </si>
  <si>
    <t>Site_175</t>
  </si>
  <si>
    <t>Site_176</t>
  </si>
  <si>
    <t>Site_177</t>
  </si>
  <si>
    <t>Site_178</t>
  </si>
  <si>
    <t>Site_179</t>
  </si>
  <si>
    <t>Site_180</t>
  </si>
  <si>
    <t>Site_181</t>
  </si>
  <si>
    <t>Site_182</t>
  </si>
  <si>
    <t>Site_183</t>
  </si>
  <si>
    <t>Site_184</t>
  </si>
  <si>
    <t>Site_185</t>
  </si>
  <si>
    <t>Site_186</t>
  </si>
  <si>
    <t>Site_187</t>
  </si>
  <si>
    <t>Site_188</t>
  </si>
  <si>
    <t>Site_189</t>
  </si>
  <si>
    <t>Site_190</t>
  </si>
  <si>
    <t>Site_191</t>
  </si>
  <si>
    <t>Site_192</t>
  </si>
  <si>
    <t>Site_193</t>
  </si>
  <si>
    <t>Site_194</t>
  </si>
  <si>
    <t>Site_195</t>
  </si>
  <si>
    <t>Site_196</t>
  </si>
  <si>
    <t>Site_197</t>
  </si>
  <si>
    <t>Site_198</t>
  </si>
  <si>
    <t>Site_199</t>
  </si>
  <si>
    <t>Site_200</t>
  </si>
  <si>
    <t>Site_201</t>
  </si>
  <si>
    <t>Site_202</t>
  </si>
  <si>
    <t>Site_203</t>
  </si>
  <si>
    <t>Site_204</t>
  </si>
  <si>
    <t>Site_205</t>
  </si>
  <si>
    <t>Site_206</t>
  </si>
  <si>
    <t>Site_207</t>
  </si>
  <si>
    <t>Site_208</t>
  </si>
  <si>
    <t>Site_209</t>
  </si>
  <si>
    <t>Site_210</t>
  </si>
  <si>
    <t>Site_211</t>
  </si>
  <si>
    <t>Site_212</t>
  </si>
  <si>
    <t>Site_213</t>
  </si>
  <si>
    <t>Site_214</t>
  </si>
  <si>
    <t>Site_215</t>
  </si>
  <si>
    <t>Site_216</t>
  </si>
  <si>
    <t>Site_217</t>
  </si>
  <si>
    <t>Site_218</t>
  </si>
  <si>
    <t>Site_219</t>
  </si>
  <si>
    <t>Site_220</t>
  </si>
  <si>
    <t>Site_221</t>
  </si>
  <si>
    <t>Site_222</t>
  </si>
  <si>
    <t>Site_223</t>
  </si>
  <si>
    <t>Site_224</t>
  </si>
  <si>
    <t>Site_225</t>
  </si>
  <si>
    <t>Site_226</t>
  </si>
  <si>
    <t>Site_227</t>
  </si>
  <si>
    <t>Site_228</t>
  </si>
  <si>
    <t>Site_229</t>
  </si>
  <si>
    <t>Site_230</t>
  </si>
  <si>
    <t>Site_231</t>
  </si>
  <si>
    <t>Site_232</t>
  </si>
  <si>
    <t>Site_233</t>
  </si>
  <si>
    <t>Site_234</t>
  </si>
  <si>
    <t>Site_235</t>
  </si>
  <si>
    <t>Site_236</t>
  </si>
  <si>
    <t>Site_237</t>
  </si>
  <si>
    <t>Site_238</t>
  </si>
  <si>
    <t>Site_239</t>
  </si>
  <si>
    <t>Site_240</t>
  </si>
  <si>
    <t>Site_241</t>
  </si>
  <si>
    <t>Site_242</t>
  </si>
  <si>
    <t>Site_243</t>
  </si>
  <si>
    <t>Site_244</t>
  </si>
  <si>
    <t>Site_245</t>
  </si>
  <si>
    <t>Site_246</t>
  </si>
  <si>
    <t>Site_247</t>
  </si>
  <si>
    <t>Site_248</t>
  </si>
  <si>
    <t>Site_249</t>
  </si>
  <si>
    <t>Site_250</t>
  </si>
  <si>
    <t>Site_251</t>
  </si>
  <si>
    <t>Site_252</t>
  </si>
  <si>
    <t>Site_253</t>
  </si>
  <si>
    <t>Site_254</t>
  </si>
  <si>
    <t>Site_255</t>
  </si>
  <si>
    <t>Site_256</t>
  </si>
  <si>
    <t>Site_257</t>
  </si>
  <si>
    <t>Site_258</t>
  </si>
  <si>
    <t>Site_259</t>
  </si>
  <si>
    <t>Site_260</t>
  </si>
  <si>
    <t>Site_261</t>
  </si>
  <si>
    <t>Site_262</t>
  </si>
  <si>
    <t>Site_263</t>
  </si>
  <si>
    <t>Site_264</t>
  </si>
  <si>
    <t>Site_265</t>
  </si>
  <si>
    <t>Site_266</t>
  </si>
  <si>
    <t>Site_267</t>
  </si>
  <si>
    <t>Site_268</t>
  </si>
  <si>
    <t>Site_269</t>
  </si>
  <si>
    <t>Site_270</t>
  </si>
  <si>
    <t>Site_271</t>
  </si>
  <si>
    <t>Site_272</t>
  </si>
  <si>
    <t>Site_273</t>
  </si>
  <si>
    <t>Site_274</t>
  </si>
  <si>
    <t>Site_275</t>
  </si>
  <si>
    <t>Site_276</t>
  </si>
  <si>
    <t>Site_277</t>
  </si>
  <si>
    <t>Site_278</t>
  </si>
  <si>
    <t>Site_279</t>
  </si>
  <si>
    <t>Site_280</t>
  </si>
  <si>
    <t>Site_281</t>
  </si>
  <si>
    <t>Site_282</t>
  </si>
  <si>
    <t>Site_283</t>
  </si>
  <si>
    <t>Site_284</t>
  </si>
  <si>
    <t>Site_285</t>
  </si>
  <si>
    <t>Site_286</t>
  </si>
  <si>
    <t>Site_287</t>
  </si>
  <si>
    <t>Site_288</t>
  </si>
  <si>
    <t>Site_289</t>
  </si>
  <si>
    <t>Site_290</t>
  </si>
  <si>
    <t>Site_291</t>
  </si>
  <si>
    <t>Site_292</t>
  </si>
  <si>
    <t>Site_293</t>
  </si>
  <si>
    <t>Site_294</t>
  </si>
  <si>
    <t>Site_295</t>
  </si>
  <si>
    <t>Site_296</t>
  </si>
  <si>
    <t>Site_297</t>
  </si>
  <si>
    <t>Site_298</t>
  </si>
  <si>
    <t>Site_299</t>
  </si>
  <si>
    <t>Site_300</t>
  </si>
  <si>
    <t>Site_301</t>
  </si>
  <si>
    <t>Site_302</t>
  </si>
  <si>
    <t>Site_303</t>
  </si>
  <si>
    <t>Site_304</t>
  </si>
  <si>
    <t>Site_305</t>
  </si>
  <si>
    <t>Site_306</t>
  </si>
  <si>
    <t>Site_307</t>
  </si>
  <si>
    <t>Site_308</t>
  </si>
  <si>
    <t>Site_309</t>
  </si>
  <si>
    <t>Site_310</t>
  </si>
  <si>
    <t>Site_311</t>
  </si>
  <si>
    <t>Site_312</t>
  </si>
  <si>
    <t>Site_313</t>
  </si>
  <si>
    <t>Site_314</t>
  </si>
  <si>
    <t>Site_315</t>
  </si>
  <si>
    <t>Site_316</t>
  </si>
  <si>
    <t>Site_317</t>
  </si>
  <si>
    <t>Site_318</t>
  </si>
  <si>
    <t>Site_319</t>
  </si>
  <si>
    <t>Site_320</t>
  </si>
  <si>
    <t>Site_321</t>
  </si>
  <si>
    <t>Site_322</t>
  </si>
  <si>
    <t>Site_323</t>
  </si>
  <si>
    <t>Site_324</t>
  </si>
  <si>
    <t>Site_325</t>
  </si>
  <si>
    <t>Site_326</t>
  </si>
  <si>
    <t>Site_327</t>
  </si>
  <si>
    <t>Site_328</t>
  </si>
  <si>
    <t>Site_329</t>
  </si>
  <si>
    <t>Site_330</t>
  </si>
  <si>
    <t>Site_331</t>
  </si>
  <si>
    <t>Site_332</t>
  </si>
  <si>
    <t>Site_333</t>
  </si>
  <si>
    <t>Site_334</t>
  </si>
  <si>
    <t>Site_335</t>
  </si>
  <si>
    <t>Site_336</t>
  </si>
  <si>
    <t>Site_337</t>
  </si>
  <si>
    <t>Site_338</t>
  </si>
  <si>
    <t>Site_339</t>
  </si>
  <si>
    <t>Site_340</t>
  </si>
  <si>
    <t>Site_341</t>
  </si>
  <si>
    <t>Site_342</t>
  </si>
  <si>
    <t>Site_343</t>
  </si>
  <si>
    <t>Site_344</t>
  </si>
  <si>
    <t>Site_345</t>
  </si>
  <si>
    <t>Site_346</t>
  </si>
  <si>
    <t>Site_347</t>
  </si>
  <si>
    <t>Site_348</t>
  </si>
  <si>
    <t>Site_349</t>
  </si>
  <si>
    <t>Site_350</t>
  </si>
  <si>
    <t>Site_351</t>
  </si>
  <si>
    <t>Site_352</t>
  </si>
  <si>
    <t>Site_353</t>
  </si>
  <si>
    <t>Site_354</t>
  </si>
  <si>
    <t>Site_355</t>
  </si>
  <si>
    <t>Site_356</t>
  </si>
  <si>
    <t>Site_357</t>
  </si>
  <si>
    <t>Site_358</t>
  </si>
  <si>
    <t>Site_359</t>
  </si>
  <si>
    <t>Site_360</t>
  </si>
  <si>
    <t>Site_361</t>
  </si>
  <si>
    <t>Site_362</t>
  </si>
  <si>
    <t>Site_363</t>
  </si>
  <si>
    <t>Site_364</t>
  </si>
  <si>
    <t>Site_365</t>
  </si>
  <si>
    <t>Site_366</t>
  </si>
  <si>
    <t>Site_367</t>
  </si>
  <si>
    <t>Site_368</t>
  </si>
  <si>
    <t>Site_369</t>
  </si>
  <si>
    <t>Site_370</t>
  </si>
  <si>
    <t>Site_371</t>
  </si>
  <si>
    <t>Site_372</t>
  </si>
  <si>
    <t>Site_373</t>
  </si>
  <si>
    <t>Site_374</t>
  </si>
  <si>
    <t>Site_375</t>
  </si>
  <si>
    <t>Site_376</t>
  </si>
  <si>
    <t>Site_377</t>
  </si>
  <si>
    <t>Site_378</t>
  </si>
  <si>
    <t>Site_379</t>
  </si>
  <si>
    <t>Site_380</t>
  </si>
  <si>
    <t>Site_381</t>
  </si>
  <si>
    <t>Site_382</t>
  </si>
  <si>
    <t>Site_383</t>
  </si>
  <si>
    <t>Site_384</t>
  </si>
  <si>
    <t>Site_385</t>
  </si>
  <si>
    <t>Site_386</t>
  </si>
  <si>
    <t>Site_387</t>
  </si>
  <si>
    <t>Site_388</t>
  </si>
  <si>
    <t>Site_389</t>
  </si>
  <si>
    <t>Site_390</t>
  </si>
  <si>
    <t>Site_391</t>
  </si>
  <si>
    <t>Site_392</t>
  </si>
  <si>
    <t>Site_393</t>
  </si>
  <si>
    <t>Site_394</t>
  </si>
  <si>
    <t>Site_395</t>
  </si>
  <si>
    <t>Site_396</t>
  </si>
  <si>
    <t>Site_397</t>
  </si>
  <si>
    <t>Site_398</t>
  </si>
  <si>
    <t>Site_399</t>
  </si>
  <si>
    <t>Site_400</t>
  </si>
  <si>
    <t>Site_401</t>
  </si>
  <si>
    <t>Site_402</t>
  </si>
  <si>
    <t>Site_403</t>
  </si>
  <si>
    <t>Site_404</t>
  </si>
  <si>
    <t>Site_405</t>
  </si>
  <si>
    <t>Site_406</t>
  </si>
  <si>
    <t>Site_407</t>
  </si>
  <si>
    <t>Site_408</t>
  </si>
  <si>
    <t>Site_409</t>
  </si>
  <si>
    <t>Site_410</t>
  </si>
  <si>
    <t>Site_411</t>
  </si>
  <si>
    <t>Site_412</t>
  </si>
  <si>
    <t>Site_413</t>
  </si>
  <si>
    <t>Site_414</t>
  </si>
  <si>
    <t>Site_415</t>
  </si>
  <si>
    <t>Site_416</t>
  </si>
  <si>
    <t>Site_417</t>
  </si>
  <si>
    <t>Site_418</t>
  </si>
  <si>
    <t>Site_419</t>
  </si>
  <si>
    <t>Site_420</t>
  </si>
  <si>
    <t>Site_421</t>
  </si>
  <si>
    <t>Site_422</t>
  </si>
  <si>
    <t>Site_423</t>
  </si>
  <si>
    <t>Site_424</t>
  </si>
  <si>
    <t>Site_425</t>
  </si>
  <si>
    <t>Site_426</t>
  </si>
  <si>
    <t>Site_427</t>
  </si>
  <si>
    <t>Site_428</t>
  </si>
  <si>
    <t>Site_429</t>
  </si>
  <si>
    <t>Site_430</t>
  </si>
  <si>
    <t>Site_431</t>
  </si>
  <si>
    <t>Site_432</t>
  </si>
  <si>
    <t>Site_433</t>
  </si>
  <si>
    <t>Site_434</t>
  </si>
  <si>
    <t>Site_435</t>
  </si>
  <si>
    <t>Site_436</t>
  </si>
  <si>
    <t>Site_437</t>
  </si>
  <si>
    <t>Site_438</t>
  </si>
  <si>
    <t>Site_439</t>
  </si>
  <si>
    <t>Site_440</t>
  </si>
  <si>
    <t>Site_441</t>
  </si>
  <si>
    <t>Site_442</t>
  </si>
  <si>
    <t>Site_443</t>
  </si>
  <si>
    <t>Site_444</t>
  </si>
  <si>
    <t>Site_445</t>
  </si>
  <si>
    <t>Site_446</t>
  </si>
  <si>
    <t>Site_447</t>
  </si>
  <si>
    <t>Site_448</t>
  </si>
  <si>
    <t>Site_449</t>
  </si>
  <si>
    <t>Site_450</t>
  </si>
  <si>
    <t>Site_451</t>
  </si>
  <si>
    <t>Site_452</t>
  </si>
  <si>
    <t>Site_453</t>
  </si>
  <si>
    <t>Site_454</t>
  </si>
  <si>
    <t>Site_455</t>
  </si>
  <si>
    <t>Site_456</t>
  </si>
  <si>
    <t>Site_457</t>
  </si>
  <si>
    <t>Site_458</t>
  </si>
  <si>
    <t>Site_459</t>
  </si>
  <si>
    <t>Site_460</t>
  </si>
  <si>
    <t>Site_461</t>
  </si>
  <si>
    <t>Site_462</t>
  </si>
  <si>
    <t>Site_463</t>
  </si>
  <si>
    <t>Site_464</t>
  </si>
  <si>
    <t>Site_465</t>
  </si>
  <si>
    <t>Site_466</t>
  </si>
  <si>
    <t>Site_467</t>
  </si>
  <si>
    <t>Site_468</t>
  </si>
  <si>
    <t>Site_469</t>
  </si>
  <si>
    <t>Site_470</t>
  </si>
  <si>
    <t>Site_471</t>
  </si>
  <si>
    <t>Site_472</t>
  </si>
  <si>
    <t>Site_473</t>
  </si>
  <si>
    <t>Site_474</t>
  </si>
  <si>
    <t>Site_475</t>
  </si>
  <si>
    <t>Site_476</t>
  </si>
  <si>
    <t>Site_477</t>
  </si>
  <si>
    <t>Site_478</t>
  </si>
  <si>
    <t>Site_479</t>
  </si>
  <si>
    <t>Site_480</t>
  </si>
  <si>
    <t>Site_481</t>
  </si>
  <si>
    <t>Site_482</t>
  </si>
  <si>
    <t>Site_483</t>
  </si>
  <si>
    <t>Site_484</t>
  </si>
  <si>
    <t>Site_485</t>
  </si>
  <si>
    <t>Site_486</t>
  </si>
  <si>
    <t>Site_487</t>
  </si>
  <si>
    <t>Site_488</t>
  </si>
  <si>
    <t>Site_489</t>
  </si>
  <si>
    <t>Site_490</t>
  </si>
  <si>
    <t>Site_491</t>
  </si>
  <si>
    <t>Site_492</t>
  </si>
  <si>
    <t>Site_493</t>
  </si>
  <si>
    <t>Site_494</t>
  </si>
  <si>
    <t>Site_495</t>
  </si>
  <si>
    <t>Site_496</t>
  </si>
  <si>
    <t>Site_497</t>
  </si>
  <si>
    <t>Site_498</t>
  </si>
  <si>
    <t>Site_499</t>
  </si>
  <si>
    <t>East</t>
  </si>
  <si>
    <t>West</t>
  </si>
  <si>
    <t>North</t>
  </si>
  <si>
    <t>South</t>
  </si>
  <si>
    <t>Cable</t>
  </si>
  <si>
    <t>Antenna</t>
  </si>
  <si>
    <t>Router</t>
  </si>
  <si>
    <t>Row Labels</t>
  </si>
  <si>
    <t>Grand Total</t>
  </si>
  <si>
    <t>Sum of Total_Order_Cost</t>
  </si>
  <si>
    <t>Clean_Shortage</t>
  </si>
  <si>
    <t>Clean_Excess</t>
  </si>
  <si>
    <t>Sum of Clean_Shortage</t>
  </si>
  <si>
    <t>Sum of Clean_Excess</t>
  </si>
  <si>
    <t>summary</t>
  </si>
  <si>
    <t>Q1: Which region has highest shortage?</t>
  </si>
  <si>
    <t>Q2: Which equipment type has highest cost?</t>
  </si>
  <si>
    <t>Q3: Which region has highest excess inventory?</t>
  </si>
  <si>
    <t>“West region has the highest shortage of 1750 units, indicating a significant demand-supply mismatch and potential inefficiencies in inventory planning or delayed replenishment.”</t>
  </si>
  <si>
    <t>“Antenna contributes the highest total order cost at 40 million+, making it the primary cost driver and a key area for optimization.”</t>
  </si>
  <si>
    <t>“West region also has the highest excess inventory of 3387 units, suggesting overstocking and poor allocation of resources, leading to unnecessary holding costs.”</t>
  </si>
  <si>
    <t>“Interestingly, West region shows both highest shortage and highest excess, indicating imbalance in inventory distribution rather than overall supply shortage. This suggests inefficiencies in allocation across sites.”</t>
  </si>
  <si>
    <t>Critical_Sites</t>
  </si>
  <si>
    <t xml:space="preserve">Total Critical Sites-&gt; shortage&gt;0, lead days&gt;10 </t>
  </si>
  <si>
    <t>“I identified 72 high-risk sites where there is both inventory shortage and high lead time. These sites are critical because not only is there insufficient stock, but replenishment will also take longer, increasing the risk of operational delays.”</t>
  </si>
  <si>
    <t>“These sites should be prioritized for faster replenishment or buffer stock planning to avoid service disruptions.”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</si>
</sst>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hh:mm:ss"/>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 fontId="1" fillId="0" borderId="1" xfId="1" applyNumberFormat="1" applyFont="1" applyBorder="1" applyAlignment="1">
      <alignment horizontal="center" vertical="top"/>
    </xf>
    <xf numFmtId="1" fontId="0" fillId="0" borderId="0" xfId="1" applyNumberFormat="1" applyFont="1"/>
    <xf numFmtId="1" fontId="0" fillId="0" borderId="0" xfId="0" applyNumberFormat="1"/>
    <xf numFmtId="0" fontId="1" fillId="0" borderId="0" xfId="0" applyFont="1"/>
    <xf numFmtId="0" fontId="4" fillId="0" borderId="0" xfId="0" applyFont="1"/>
    <xf numFmtId="0" fontId="1" fillId="0" borderId="0" xfId="0" applyFont="1" applyAlignment="1">
      <alignment wrapText="1"/>
    </xf>
  </cellXfs>
  <cellStyles count="2">
    <cellStyle name="Comma" xfId="1" builtinId="3"/>
    <cellStyle name="Normal" xfId="0" builtinId="0"/>
  </cellStyles>
  <dxfs count="9">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numFmt numFmtId="1" formatCode="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refreshedDate="46099.001407407406" createdVersion="8" refreshedVersion="8" minRefreshableVersion="3" recordCount="500" xr:uid="{324071CB-461F-4460-82B9-D1B4F3FDC175}">
  <cacheSource type="worksheet">
    <worksheetSource name="Table1"/>
  </cacheSource>
  <cacheFields count="14">
    <cacheField name="Site_ID" numFmtId="0">
      <sharedItems/>
    </cacheField>
    <cacheField name="Region" numFmtId="0">
      <sharedItems count="4">
        <s v="East"/>
        <s v="West"/>
        <s v="North"/>
        <s v="South"/>
      </sharedItems>
    </cacheField>
    <cacheField name="Equipment_Type" numFmtId="0">
      <sharedItems count="3">
        <s v="Cable"/>
        <s v="Antenna"/>
        <s v="Router"/>
      </sharedItems>
    </cacheField>
    <cacheField name="Required_Qty" numFmtId="0">
      <sharedItems containsSemiMixedTypes="0" containsString="0" containsNumber="1" containsInteger="1" minValue="10" maxValue="99"/>
    </cacheField>
    <cacheField name="Available_Qty" numFmtId="0">
      <sharedItems containsSemiMixedTypes="0" containsString="0" containsNumber="1" containsInteger="1" minValue="5" maxValue="119"/>
    </cacheField>
    <cacheField name="Ordered_Qty" numFmtId="0">
      <sharedItems containsSemiMixedTypes="0" containsString="0" containsNumber="1" containsInteger="1" minValue="0" maxValue="79"/>
    </cacheField>
    <cacheField name="Unit_Cost" numFmtId="0">
      <sharedItems containsSemiMixedTypes="0" containsString="0" containsNumber="1" containsInteger="1" minValue="1016" maxValue="9984"/>
    </cacheField>
    <cacheField name="Lead_Time_Days" numFmtId="0">
      <sharedItems containsSemiMixedTypes="0" containsString="0" containsNumber="1" containsInteger="1" minValue="1" maxValue="14"/>
    </cacheField>
    <cacheField name="Order_Date" numFmtId="164">
      <sharedItems containsSemiMixedTypes="0" containsNonDate="0" containsDate="1" containsString="0" minDate="2023-01-01T00:00:00" maxDate="2024-05-15T00:00:00"/>
    </cacheField>
    <cacheField name="Shortage" numFmtId="1">
      <sharedItems containsSemiMixedTypes="0" containsString="0" containsNumber="1" containsInteger="1" minValue="-107" maxValue="90"/>
    </cacheField>
    <cacheField name="Excess" numFmtId="1">
      <sharedItems containsSemiMixedTypes="0" containsString="0" containsNumber="1" containsInteger="1" minValue="-90" maxValue="107"/>
    </cacheField>
    <cacheField name="Clean_Shortage" numFmtId="1">
      <sharedItems containsSemiMixedTypes="0" containsString="0" containsNumber="1" containsInteger="1" minValue="0" maxValue="90"/>
    </cacheField>
    <cacheField name="Clean_Excess" numFmtId="1">
      <sharedItems containsSemiMixedTypes="0" containsString="0" containsNumber="1" containsInteger="1" minValue="0" maxValue="107"/>
    </cacheField>
    <cacheField name="Total_Order_Cost" numFmtId="0">
      <sharedItems containsSemiMixedTypes="0" containsString="0" containsNumber="1" containsInteger="1" minValue="0" maxValue="7436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ite_0"/>
    <x v="0"/>
    <x v="0"/>
    <n v="83"/>
    <n v="13"/>
    <n v="51"/>
    <n v="7652"/>
    <n v="10"/>
    <d v="2023-01-01T00:00:00"/>
    <n v="70"/>
    <n v="-70"/>
    <n v="70"/>
    <n v="0"/>
    <n v="390252"/>
  </r>
  <r>
    <s v="Site_1"/>
    <x v="1"/>
    <x v="1"/>
    <n v="26"/>
    <n v="44"/>
    <n v="75"/>
    <n v="9632"/>
    <n v="5"/>
    <d v="2023-01-02T00:00:00"/>
    <n v="-18"/>
    <n v="18"/>
    <n v="0"/>
    <n v="18"/>
    <n v="722400"/>
  </r>
  <r>
    <s v="Site_2"/>
    <x v="2"/>
    <x v="1"/>
    <n v="93"/>
    <n v="70"/>
    <n v="6"/>
    <n v="8421"/>
    <n v="5"/>
    <d v="2023-01-03T00:00:00"/>
    <n v="23"/>
    <n v="-23"/>
    <n v="23"/>
    <n v="0"/>
    <n v="50526"/>
  </r>
  <r>
    <s v="Site_3"/>
    <x v="0"/>
    <x v="0"/>
    <n v="97"/>
    <n v="113"/>
    <n v="28"/>
    <n v="6016"/>
    <n v="2"/>
    <d v="2023-01-04T00:00:00"/>
    <n v="-16"/>
    <n v="16"/>
    <n v="0"/>
    <n v="16"/>
    <n v="168448"/>
  </r>
  <r>
    <s v="Site_4"/>
    <x v="0"/>
    <x v="1"/>
    <n v="78"/>
    <n v="29"/>
    <n v="10"/>
    <n v="1769"/>
    <n v="6"/>
    <d v="2023-01-05T00:00:00"/>
    <n v="49"/>
    <n v="-49"/>
    <n v="49"/>
    <n v="0"/>
    <n v="17690"/>
  </r>
  <r>
    <s v="Site_5"/>
    <x v="1"/>
    <x v="0"/>
    <n v="43"/>
    <n v="107"/>
    <n v="32"/>
    <n v="2343"/>
    <n v="9"/>
    <d v="2023-01-06T00:00:00"/>
    <n v="-64"/>
    <n v="64"/>
    <n v="0"/>
    <n v="64"/>
    <n v="74976"/>
  </r>
  <r>
    <s v="Site_6"/>
    <x v="2"/>
    <x v="2"/>
    <n v="15"/>
    <n v="77"/>
    <n v="5"/>
    <n v="5358"/>
    <n v="2"/>
    <d v="2023-01-07T00:00:00"/>
    <n v="-62"/>
    <n v="62"/>
    <n v="0"/>
    <n v="62"/>
    <n v="26790"/>
  </r>
  <r>
    <s v="Site_7"/>
    <x v="2"/>
    <x v="1"/>
    <n v="62"/>
    <n v="26"/>
    <n v="78"/>
    <n v="7780"/>
    <n v="10"/>
    <d v="2023-01-08T00:00:00"/>
    <n v="36"/>
    <n v="-36"/>
    <n v="36"/>
    <n v="0"/>
    <n v="606840"/>
  </r>
  <r>
    <s v="Site_8"/>
    <x v="0"/>
    <x v="2"/>
    <n v="75"/>
    <n v="111"/>
    <n v="31"/>
    <n v="7602"/>
    <n v="2"/>
    <d v="2023-01-09T00:00:00"/>
    <n v="-36"/>
    <n v="36"/>
    <n v="0"/>
    <n v="36"/>
    <n v="235662"/>
  </r>
  <r>
    <s v="Site_9"/>
    <x v="3"/>
    <x v="0"/>
    <n v="86"/>
    <n v="114"/>
    <n v="50"/>
    <n v="3349"/>
    <n v="3"/>
    <d v="2023-01-10T00:00:00"/>
    <n v="-28"/>
    <n v="28"/>
    <n v="0"/>
    <n v="28"/>
    <n v="167450"/>
  </r>
  <r>
    <s v="Site_10"/>
    <x v="0"/>
    <x v="2"/>
    <n v="52"/>
    <n v="8"/>
    <n v="74"/>
    <n v="6699"/>
    <n v="13"/>
    <d v="2023-01-11T00:00:00"/>
    <n v="44"/>
    <n v="-44"/>
    <n v="44"/>
    <n v="0"/>
    <n v="495726"/>
  </r>
  <r>
    <s v="Site_11"/>
    <x v="0"/>
    <x v="2"/>
    <n v="84"/>
    <n v="30"/>
    <n v="57"/>
    <n v="2241"/>
    <n v="7"/>
    <d v="2023-01-12T00:00:00"/>
    <n v="54"/>
    <n v="-54"/>
    <n v="54"/>
    <n v="0"/>
    <n v="127737"/>
  </r>
  <r>
    <s v="Site_12"/>
    <x v="0"/>
    <x v="0"/>
    <n v="32"/>
    <n v="62"/>
    <n v="25"/>
    <n v="2125"/>
    <n v="6"/>
    <d v="2023-01-13T00:00:00"/>
    <n v="-30"/>
    <n v="30"/>
    <n v="0"/>
    <n v="30"/>
    <n v="53125"/>
  </r>
  <r>
    <s v="Site_13"/>
    <x v="0"/>
    <x v="2"/>
    <n v="64"/>
    <n v="33"/>
    <n v="45"/>
    <n v="7764"/>
    <n v="12"/>
    <d v="2023-01-14T00:00:00"/>
    <n v="31"/>
    <n v="-31"/>
    <n v="31"/>
    <n v="0"/>
    <n v="349380"/>
  </r>
  <r>
    <s v="Site_14"/>
    <x v="1"/>
    <x v="2"/>
    <n v="89"/>
    <n v="113"/>
    <n v="28"/>
    <n v="6101"/>
    <n v="8"/>
    <d v="2023-01-15T00:00:00"/>
    <n v="-24"/>
    <n v="24"/>
    <n v="0"/>
    <n v="24"/>
    <n v="170828"/>
  </r>
  <r>
    <s v="Site_15"/>
    <x v="2"/>
    <x v="0"/>
    <n v="84"/>
    <n v="102"/>
    <n v="3"/>
    <n v="8843"/>
    <n v="8"/>
    <d v="2023-01-16T00:00:00"/>
    <n v="-18"/>
    <n v="18"/>
    <n v="0"/>
    <n v="18"/>
    <n v="26529"/>
  </r>
  <r>
    <s v="Site_16"/>
    <x v="1"/>
    <x v="2"/>
    <n v="25"/>
    <n v="91"/>
    <n v="12"/>
    <n v="1072"/>
    <n v="6"/>
    <d v="2023-01-17T00:00:00"/>
    <n v="-66"/>
    <n v="66"/>
    <n v="0"/>
    <n v="66"/>
    <n v="12864"/>
  </r>
  <r>
    <s v="Site_17"/>
    <x v="1"/>
    <x v="0"/>
    <n v="17"/>
    <n v="41"/>
    <n v="38"/>
    <n v="6472"/>
    <n v="12"/>
    <d v="2023-01-18T00:00:00"/>
    <n v="-24"/>
    <n v="24"/>
    <n v="0"/>
    <n v="24"/>
    <n v="245936"/>
  </r>
  <r>
    <s v="Site_18"/>
    <x v="1"/>
    <x v="2"/>
    <n v="13"/>
    <n v="79"/>
    <n v="14"/>
    <n v="6189"/>
    <n v="11"/>
    <d v="2023-01-19T00:00:00"/>
    <n v="-66"/>
    <n v="66"/>
    <n v="0"/>
    <n v="66"/>
    <n v="86646"/>
  </r>
  <r>
    <s v="Site_19"/>
    <x v="0"/>
    <x v="0"/>
    <n v="13"/>
    <n v="74"/>
    <n v="28"/>
    <n v="3472"/>
    <n v="10"/>
    <d v="2023-01-20T00:00:00"/>
    <n v="-61"/>
    <n v="61"/>
    <n v="0"/>
    <n v="61"/>
    <n v="97216"/>
  </r>
  <r>
    <s v="Site_20"/>
    <x v="3"/>
    <x v="0"/>
    <n v="65"/>
    <n v="22"/>
    <n v="28"/>
    <n v="1707"/>
    <n v="3"/>
    <d v="2023-01-21T00:00:00"/>
    <n v="43"/>
    <n v="-43"/>
    <n v="43"/>
    <n v="0"/>
    <n v="47796"/>
  </r>
  <r>
    <s v="Site_21"/>
    <x v="2"/>
    <x v="2"/>
    <n v="34"/>
    <n v="89"/>
    <n v="74"/>
    <n v="2804"/>
    <n v="3"/>
    <d v="2023-01-22T00:00:00"/>
    <n v="-55"/>
    <n v="55"/>
    <n v="0"/>
    <n v="55"/>
    <n v="207496"/>
  </r>
  <r>
    <s v="Site_22"/>
    <x v="3"/>
    <x v="2"/>
    <n v="76"/>
    <n v="46"/>
    <n v="31"/>
    <n v="7704"/>
    <n v="1"/>
    <d v="2023-01-23T00:00:00"/>
    <n v="30"/>
    <n v="-30"/>
    <n v="30"/>
    <n v="0"/>
    <n v="238824"/>
  </r>
  <r>
    <s v="Site_23"/>
    <x v="1"/>
    <x v="2"/>
    <n v="76"/>
    <n v="104"/>
    <n v="1"/>
    <n v="4713"/>
    <n v="7"/>
    <d v="2023-01-24T00:00:00"/>
    <n v="-28"/>
    <n v="28"/>
    <n v="0"/>
    <n v="28"/>
    <n v="4713"/>
  </r>
  <r>
    <s v="Site_24"/>
    <x v="1"/>
    <x v="1"/>
    <n v="36"/>
    <n v="45"/>
    <n v="46"/>
    <n v="6051"/>
    <n v="5"/>
    <d v="2023-01-25T00:00:00"/>
    <n v="-9"/>
    <n v="9"/>
    <n v="0"/>
    <n v="9"/>
    <n v="278346"/>
  </r>
  <r>
    <s v="Site_25"/>
    <x v="3"/>
    <x v="1"/>
    <n v="41"/>
    <n v="42"/>
    <n v="77"/>
    <n v="3475"/>
    <n v="4"/>
    <d v="2023-01-26T00:00:00"/>
    <n v="-1"/>
    <n v="1"/>
    <n v="0"/>
    <n v="1"/>
    <n v="267575"/>
  </r>
  <r>
    <s v="Site_26"/>
    <x v="3"/>
    <x v="1"/>
    <n v="59"/>
    <n v="38"/>
    <n v="21"/>
    <n v="4610"/>
    <n v="10"/>
    <d v="2023-01-27T00:00:00"/>
    <n v="21"/>
    <n v="-21"/>
    <n v="21"/>
    <n v="0"/>
    <n v="96810"/>
  </r>
  <r>
    <s v="Site_27"/>
    <x v="3"/>
    <x v="0"/>
    <n v="70"/>
    <n v="21"/>
    <n v="74"/>
    <n v="5255"/>
    <n v="4"/>
    <d v="2023-01-28T00:00:00"/>
    <n v="49"/>
    <n v="-49"/>
    <n v="49"/>
    <n v="0"/>
    <n v="388870"/>
  </r>
  <r>
    <s v="Site_28"/>
    <x v="1"/>
    <x v="2"/>
    <n v="60"/>
    <n v="41"/>
    <n v="26"/>
    <n v="8397"/>
    <n v="14"/>
    <d v="2023-01-29T00:00:00"/>
    <n v="19"/>
    <n v="-19"/>
    <n v="19"/>
    <n v="0"/>
    <n v="218322"/>
  </r>
  <r>
    <s v="Site_29"/>
    <x v="1"/>
    <x v="0"/>
    <n v="28"/>
    <n v="29"/>
    <n v="66"/>
    <n v="2735"/>
    <n v="4"/>
    <d v="2023-01-30T00:00:00"/>
    <n v="-1"/>
    <n v="1"/>
    <n v="0"/>
    <n v="1"/>
    <n v="180510"/>
  </r>
  <r>
    <s v="Site_30"/>
    <x v="2"/>
    <x v="1"/>
    <n v="30"/>
    <n v="106"/>
    <n v="55"/>
    <n v="9258"/>
    <n v="6"/>
    <d v="2023-01-31T00:00:00"/>
    <n v="-76"/>
    <n v="76"/>
    <n v="0"/>
    <n v="76"/>
    <n v="509190"/>
  </r>
  <r>
    <s v="Site_31"/>
    <x v="2"/>
    <x v="2"/>
    <n v="14"/>
    <n v="80"/>
    <n v="20"/>
    <n v="8979"/>
    <n v="8"/>
    <d v="2023-02-01T00:00:00"/>
    <n v="-66"/>
    <n v="66"/>
    <n v="0"/>
    <n v="66"/>
    <n v="179580"/>
  </r>
  <r>
    <s v="Site_32"/>
    <x v="1"/>
    <x v="0"/>
    <n v="91"/>
    <n v="91"/>
    <n v="46"/>
    <n v="3428"/>
    <n v="8"/>
    <d v="2023-02-02T00:00:00"/>
    <n v="0"/>
    <n v="0"/>
    <n v="0"/>
    <n v="0"/>
    <n v="157688"/>
  </r>
  <r>
    <s v="Site_33"/>
    <x v="3"/>
    <x v="2"/>
    <n v="51"/>
    <n v="110"/>
    <n v="79"/>
    <n v="8426"/>
    <n v="5"/>
    <d v="2023-02-03T00:00:00"/>
    <n v="-59"/>
    <n v="59"/>
    <n v="0"/>
    <n v="59"/>
    <n v="665654"/>
  </r>
  <r>
    <s v="Site_34"/>
    <x v="3"/>
    <x v="0"/>
    <n v="70"/>
    <n v="90"/>
    <n v="58"/>
    <n v="9533"/>
    <n v="6"/>
    <d v="2023-02-04T00:00:00"/>
    <n v="-20"/>
    <n v="20"/>
    <n v="0"/>
    <n v="20"/>
    <n v="552914"/>
  </r>
  <r>
    <s v="Site_35"/>
    <x v="2"/>
    <x v="2"/>
    <n v="31"/>
    <n v="89"/>
    <n v="5"/>
    <n v="6249"/>
    <n v="4"/>
    <d v="2023-02-05T00:00:00"/>
    <n v="-58"/>
    <n v="58"/>
    <n v="0"/>
    <n v="58"/>
    <n v="31245"/>
  </r>
  <r>
    <s v="Site_36"/>
    <x v="1"/>
    <x v="1"/>
    <n v="30"/>
    <n v="31"/>
    <n v="18"/>
    <n v="6291"/>
    <n v="12"/>
    <d v="2023-02-06T00:00:00"/>
    <n v="-1"/>
    <n v="1"/>
    <n v="0"/>
    <n v="1"/>
    <n v="113238"/>
  </r>
  <r>
    <s v="Site_37"/>
    <x v="2"/>
    <x v="1"/>
    <n v="79"/>
    <n v="61"/>
    <n v="56"/>
    <n v="3817"/>
    <n v="14"/>
    <d v="2023-02-07T00:00:00"/>
    <n v="18"/>
    <n v="-18"/>
    <n v="18"/>
    <n v="0"/>
    <n v="213752"/>
  </r>
  <r>
    <s v="Site_38"/>
    <x v="2"/>
    <x v="2"/>
    <n v="10"/>
    <n v="35"/>
    <n v="68"/>
    <n v="4874"/>
    <n v="11"/>
    <d v="2023-02-08T00:00:00"/>
    <n v="-25"/>
    <n v="25"/>
    <n v="0"/>
    <n v="25"/>
    <n v="331432"/>
  </r>
  <r>
    <s v="Site_39"/>
    <x v="0"/>
    <x v="0"/>
    <n v="14"/>
    <n v="10"/>
    <n v="2"/>
    <n v="5211"/>
    <n v="13"/>
    <d v="2023-02-09T00:00:00"/>
    <n v="4"/>
    <n v="-4"/>
    <n v="4"/>
    <n v="0"/>
    <n v="10422"/>
  </r>
  <r>
    <s v="Site_40"/>
    <x v="0"/>
    <x v="1"/>
    <n v="21"/>
    <n v="95"/>
    <n v="0"/>
    <n v="1661"/>
    <n v="9"/>
    <d v="2023-02-10T00:00:00"/>
    <n v="-74"/>
    <n v="74"/>
    <n v="0"/>
    <n v="74"/>
    <n v="0"/>
  </r>
  <r>
    <s v="Site_41"/>
    <x v="0"/>
    <x v="1"/>
    <n v="99"/>
    <n v="44"/>
    <n v="57"/>
    <n v="4374"/>
    <n v="8"/>
    <d v="2023-02-11T00:00:00"/>
    <n v="55"/>
    <n v="-55"/>
    <n v="55"/>
    <n v="0"/>
    <n v="249318"/>
  </r>
  <r>
    <s v="Site_42"/>
    <x v="3"/>
    <x v="1"/>
    <n v="55"/>
    <n v="102"/>
    <n v="37"/>
    <n v="1207"/>
    <n v="10"/>
    <d v="2023-02-12T00:00:00"/>
    <n v="-47"/>
    <n v="47"/>
    <n v="0"/>
    <n v="47"/>
    <n v="44659"/>
  </r>
  <r>
    <s v="Site_43"/>
    <x v="1"/>
    <x v="2"/>
    <n v="43"/>
    <n v="16"/>
    <n v="14"/>
    <n v="3665"/>
    <n v="12"/>
    <d v="2023-02-13T00:00:00"/>
    <n v="27"/>
    <n v="-27"/>
    <n v="27"/>
    <n v="0"/>
    <n v="51310"/>
  </r>
  <r>
    <s v="Site_44"/>
    <x v="1"/>
    <x v="2"/>
    <n v="58"/>
    <n v="113"/>
    <n v="33"/>
    <n v="3493"/>
    <n v="10"/>
    <d v="2023-02-14T00:00:00"/>
    <n v="-55"/>
    <n v="55"/>
    <n v="0"/>
    <n v="55"/>
    <n v="115269"/>
  </r>
  <r>
    <s v="Site_45"/>
    <x v="1"/>
    <x v="0"/>
    <n v="87"/>
    <n v="57"/>
    <n v="60"/>
    <n v="7813"/>
    <n v="1"/>
    <d v="2023-02-15T00:00:00"/>
    <n v="30"/>
    <n v="-30"/>
    <n v="30"/>
    <n v="0"/>
    <n v="468780"/>
  </r>
  <r>
    <s v="Site_46"/>
    <x v="1"/>
    <x v="0"/>
    <n v="99"/>
    <n v="75"/>
    <n v="34"/>
    <n v="1632"/>
    <n v="2"/>
    <d v="2023-02-16T00:00:00"/>
    <n v="24"/>
    <n v="-24"/>
    <n v="24"/>
    <n v="0"/>
    <n v="55488"/>
  </r>
  <r>
    <s v="Site_47"/>
    <x v="0"/>
    <x v="0"/>
    <n v="54"/>
    <n v="14"/>
    <n v="63"/>
    <n v="4083"/>
    <n v="9"/>
    <d v="2023-02-17T00:00:00"/>
    <n v="40"/>
    <n v="-40"/>
    <n v="40"/>
    <n v="0"/>
    <n v="257229"/>
  </r>
  <r>
    <s v="Site_48"/>
    <x v="3"/>
    <x v="2"/>
    <n v="36"/>
    <n v="49"/>
    <n v="24"/>
    <n v="4719"/>
    <n v="8"/>
    <d v="2023-02-18T00:00:00"/>
    <n v="-13"/>
    <n v="13"/>
    <n v="0"/>
    <n v="13"/>
    <n v="113256"/>
  </r>
  <r>
    <s v="Site_49"/>
    <x v="3"/>
    <x v="2"/>
    <n v="82"/>
    <n v="21"/>
    <n v="23"/>
    <n v="8123"/>
    <n v="14"/>
    <d v="2023-02-19T00:00:00"/>
    <n v="61"/>
    <n v="-61"/>
    <n v="61"/>
    <n v="0"/>
    <n v="186829"/>
  </r>
  <r>
    <s v="Site_50"/>
    <x v="0"/>
    <x v="0"/>
    <n v="35"/>
    <n v="30"/>
    <n v="11"/>
    <n v="2679"/>
    <n v="3"/>
    <d v="2023-02-20T00:00:00"/>
    <n v="5"/>
    <n v="-5"/>
    <n v="5"/>
    <n v="0"/>
    <n v="29469"/>
  </r>
  <r>
    <s v="Site_51"/>
    <x v="3"/>
    <x v="0"/>
    <n v="56"/>
    <n v="89"/>
    <n v="17"/>
    <n v="1236"/>
    <n v="8"/>
    <d v="2023-02-21T00:00:00"/>
    <n v="-33"/>
    <n v="33"/>
    <n v="0"/>
    <n v="33"/>
    <n v="21012"/>
  </r>
  <r>
    <s v="Site_52"/>
    <x v="0"/>
    <x v="2"/>
    <n v="95"/>
    <n v="96"/>
    <n v="14"/>
    <n v="8446"/>
    <n v="12"/>
    <d v="2023-02-22T00:00:00"/>
    <n v="-1"/>
    <n v="1"/>
    <n v="0"/>
    <n v="1"/>
    <n v="118244"/>
  </r>
  <r>
    <s v="Site_53"/>
    <x v="1"/>
    <x v="0"/>
    <n v="65"/>
    <n v="66"/>
    <n v="79"/>
    <n v="5443"/>
    <n v="1"/>
    <d v="2023-02-23T00:00:00"/>
    <n v="-1"/>
    <n v="1"/>
    <n v="0"/>
    <n v="1"/>
    <n v="429997"/>
  </r>
  <r>
    <s v="Site_54"/>
    <x v="0"/>
    <x v="1"/>
    <n v="72"/>
    <n v="50"/>
    <n v="26"/>
    <n v="7770"/>
    <n v="10"/>
    <d v="2023-02-24T00:00:00"/>
    <n v="22"/>
    <n v="-22"/>
    <n v="22"/>
    <n v="0"/>
    <n v="202020"/>
  </r>
  <r>
    <s v="Site_55"/>
    <x v="1"/>
    <x v="2"/>
    <n v="57"/>
    <n v="68"/>
    <n v="71"/>
    <n v="7099"/>
    <n v="4"/>
    <d v="2023-02-25T00:00:00"/>
    <n v="-11"/>
    <n v="11"/>
    <n v="0"/>
    <n v="11"/>
    <n v="504029"/>
  </r>
  <r>
    <s v="Site_56"/>
    <x v="1"/>
    <x v="0"/>
    <n v="70"/>
    <n v="6"/>
    <n v="59"/>
    <n v="9555"/>
    <n v="3"/>
    <d v="2023-02-26T00:00:00"/>
    <n v="64"/>
    <n v="-64"/>
    <n v="64"/>
    <n v="0"/>
    <n v="563745"/>
  </r>
  <r>
    <s v="Site_57"/>
    <x v="2"/>
    <x v="2"/>
    <n v="90"/>
    <n v="58"/>
    <n v="45"/>
    <n v="3368"/>
    <n v="6"/>
    <d v="2023-02-27T00:00:00"/>
    <n v="32"/>
    <n v="-32"/>
    <n v="32"/>
    <n v="0"/>
    <n v="151560"/>
  </r>
  <r>
    <s v="Site_58"/>
    <x v="0"/>
    <x v="1"/>
    <n v="35"/>
    <n v="111"/>
    <n v="16"/>
    <n v="1285"/>
    <n v="7"/>
    <d v="2023-02-28T00:00:00"/>
    <n v="-76"/>
    <n v="76"/>
    <n v="0"/>
    <n v="76"/>
    <n v="20560"/>
  </r>
  <r>
    <s v="Site_59"/>
    <x v="2"/>
    <x v="2"/>
    <n v="45"/>
    <n v="69"/>
    <n v="52"/>
    <n v="1148"/>
    <n v="4"/>
    <d v="2023-03-01T00:00:00"/>
    <n v="-24"/>
    <n v="24"/>
    <n v="0"/>
    <n v="24"/>
    <n v="59696"/>
  </r>
  <r>
    <s v="Site_60"/>
    <x v="0"/>
    <x v="2"/>
    <n v="10"/>
    <n v="55"/>
    <n v="7"/>
    <n v="5037"/>
    <n v="7"/>
    <d v="2023-03-02T00:00:00"/>
    <n v="-45"/>
    <n v="45"/>
    <n v="0"/>
    <n v="45"/>
    <n v="35259"/>
  </r>
  <r>
    <s v="Site_61"/>
    <x v="0"/>
    <x v="2"/>
    <n v="17"/>
    <n v="57"/>
    <n v="78"/>
    <n v="7549"/>
    <n v="9"/>
    <d v="2023-03-03T00:00:00"/>
    <n v="-40"/>
    <n v="40"/>
    <n v="0"/>
    <n v="40"/>
    <n v="588822"/>
  </r>
  <r>
    <s v="Site_62"/>
    <x v="2"/>
    <x v="2"/>
    <n v="61"/>
    <n v="40"/>
    <n v="26"/>
    <n v="8121"/>
    <n v="11"/>
    <d v="2023-03-04T00:00:00"/>
    <n v="21"/>
    <n v="-21"/>
    <n v="21"/>
    <n v="0"/>
    <n v="211146"/>
  </r>
  <r>
    <s v="Site_63"/>
    <x v="2"/>
    <x v="1"/>
    <n v="88"/>
    <n v="119"/>
    <n v="45"/>
    <n v="5895"/>
    <n v="2"/>
    <d v="2023-03-05T00:00:00"/>
    <n v="-31"/>
    <n v="31"/>
    <n v="0"/>
    <n v="31"/>
    <n v="265275"/>
  </r>
  <r>
    <s v="Site_64"/>
    <x v="0"/>
    <x v="2"/>
    <n v="56"/>
    <n v="30"/>
    <n v="49"/>
    <n v="6280"/>
    <n v="11"/>
    <d v="2023-03-06T00:00:00"/>
    <n v="26"/>
    <n v="-26"/>
    <n v="26"/>
    <n v="0"/>
    <n v="307720"/>
  </r>
  <r>
    <s v="Site_65"/>
    <x v="3"/>
    <x v="2"/>
    <n v="65"/>
    <n v="33"/>
    <n v="70"/>
    <n v="2012"/>
    <n v="3"/>
    <d v="2023-03-07T00:00:00"/>
    <n v="32"/>
    <n v="-32"/>
    <n v="32"/>
    <n v="0"/>
    <n v="140840"/>
  </r>
  <r>
    <s v="Site_66"/>
    <x v="1"/>
    <x v="0"/>
    <n v="95"/>
    <n v="25"/>
    <n v="2"/>
    <n v="3785"/>
    <n v="5"/>
    <d v="2023-03-08T00:00:00"/>
    <n v="70"/>
    <n v="-70"/>
    <n v="70"/>
    <n v="0"/>
    <n v="7570"/>
  </r>
  <r>
    <s v="Site_67"/>
    <x v="2"/>
    <x v="2"/>
    <n v="23"/>
    <n v="15"/>
    <n v="63"/>
    <n v="4725"/>
    <n v="3"/>
    <d v="2023-03-09T00:00:00"/>
    <n v="8"/>
    <n v="-8"/>
    <n v="8"/>
    <n v="0"/>
    <n v="297675"/>
  </r>
  <r>
    <s v="Site_68"/>
    <x v="1"/>
    <x v="0"/>
    <n v="99"/>
    <n v="44"/>
    <n v="43"/>
    <n v="5576"/>
    <n v="11"/>
    <d v="2023-03-10T00:00:00"/>
    <n v="55"/>
    <n v="-55"/>
    <n v="55"/>
    <n v="0"/>
    <n v="239768"/>
  </r>
  <r>
    <s v="Site_69"/>
    <x v="3"/>
    <x v="1"/>
    <n v="37"/>
    <n v="15"/>
    <n v="52"/>
    <n v="6782"/>
    <n v="8"/>
    <d v="2023-03-11T00:00:00"/>
    <n v="22"/>
    <n v="-22"/>
    <n v="22"/>
    <n v="0"/>
    <n v="352664"/>
  </r>
  <r>
    <s v="Site_70"/>
    <x v="3"/>
    <x v="1"/>
    <n v="96"/>
    <n v="40"/>
    <n v="23"/>
    <n v="7257"/>
    <n v="12"/>
    <d v="2023-03-12T00:00:00"/>
    <n v="56"/>
    <n v="-56"/>
    <n v="56"/>
    <n v="0"/>
    <n v="166911"/>
  </r>
  <r>
    <s v="Site_71"/>
    <x v="3"/>
    <x v="1"/>
    <n v="87"/>
    <n v="117"/>
    <n v="59"/>
    <n v="3408"/>
    <n v="10"/>
    <d v="2023-03-13T00:00:00"/>
    <n v="-30"/>
    <n v="30"/>
    <n v="0"/>
    <n v="30"/>
    <n v="201072"/>
  </r>
  <r>
    <s v="Site_72"/>
    <x v="2"/>
    <x v="1"/>
    <n v="97"/>
    <n v="63"/>
    <n v="2"/>
    <n v="1340"/>
    <n v="8"/>
    <d v="2023-03-14T00:00:00"/>
    <n v="34"/>
    <n v="-34"/>
    <n v="34"/>
    <n v="0"/>
    <n v="2680"/>
  </r>
  <r>
    <s v="Site_73"/>
    <x v="3"/>
    <x v="0"/>
    <n v="11"/>
    <n v="43"/>
    <n v="19"/>
    <n v="3817"/>
    <n v="8"/>
    <d v="2023-03-15T00:00:00"/>
    <n v="-32"/>
    <n v="32"/>
    <n v="0"/>
    <n v="32"/>
    <n v="72523"/>
  </r>
  <r>
    <s v="Site_74"/>
    <x v="2"/>
    <x v="2"/>
    <n v="35"/>
    <n v="108"/>
    <n v="45"/>
    <n v="3496"/>
    <n v="12"/>
    <d v="2023-03-16T00:00:00"/>
    <n v="-73"/>
    <n v="73"/>
    <n v="0"/>
    <n v="73"/>
    <n v="157320"/>
  </r>
  <r>
    <s v="Site_75"/>
    <x v="3"/>
    <x v="1"/>
    <n v="23"/>
    <n v="103"/>
    <n v="14"/>
    <n v="6962"/>
    <n v="12"/>
    <d v="2023-03-17T00:00:00"/>
    <n v="-80"/>
    <n v="80"/>
    <n v="0"/>
    <n v="80"/>
    <n v="97468"/>
  </r>
  <r>
    <s v="Site_76"/>
    <x v="1"/>
    <x v="2"/>
    <n v="68"/>
    <n v="58"/>
    <n v="24"/>
    <n v="6299"/>
    <n v="9"/>
    <d v="2023-03-18T00:00:00"/>
    <n v="10"/>
    <n v="-10"/>
    <n v="10"/>
    <n v="0"/>
    <n v="151176"/>
  </r>
  <r>
    <s v="Site_77"/>
    <x v="1"/>
    <x v="0"/>
    <n v="65"/>
    <n v="102"/>
    <n v="77"/>
    <n v="8574"/>
    <n v="4"/>
    <d v="2023-03-19T00:00:00"/>
    <n v="-37"/>
    <n v="37"/>
    <n v="0"/>
    <n v="37"/>
    <n v="660198"/>
  </r>
  <r>
    <s v="Site_78"/>
    <x v="0"/>
    <x v="0"/>
    <n v="16"/>
    <n v="59"/>
    <n v="70"/>
    <n v="2689"/>
    <n v="5"/>
    <d v="2023-03-20T00:00:00"/>
    <n v="-43"/>
    <n v="43"/>
    <n v="0"/>
    <n v="43"/>
    <n v="188230"/>
  </r>
  <r>
    <s v="Site_79"/>
    <x v="1"/>
    <x v="0"/>
    <n v="12"/>
    <n v="115"/>
    <n v="16"/>
    <n v="4267"/>
    <n v="5"/>
    <d v="2023-03-21T00:00:00"/>
    <n v="-103"/>
    <n v="103"/>
    <n v="0"/>
    <n v="103"/>
    <n v="68272"/>
  </r>
  <r>
    <s v="Site_80"/>
    <x v="0"/>
    <x v="1"/>
    <n v="32"/>
    <n v="28"/>
    <n v="8"/>
    <n v="5406"/>
    <n v="8"/>
    <d v="2023-03-22T00:00:00"/>
    <n v="4"/>
    <n v="-4"/>
    <n v="4"/>
    <n v="0"/>
    <n v="43248"/>
  </r>
  <r>
    <s v="Site_81"/>
    <x v="1"/>
    <x v="2"/>
    <n v="27"/>
    <n v="26"/>
    <n v="37"/>
    <n v="9453"/>
    <n v="7"/>
    <d v="2023-03-23T00:00:00"/>
    <n v="1"/>
    <n v="-1"/>
    <n v="1"/>
    <n v="0"/>
    <n v="349761"/>
  </r>
  <r>
    <s v="Site_82"/>
    <x v="2"/>
    <x v="2"/>
    <n v="47"/>
    <n v="73"/>
    <n v="47"/>
    <n v="2442"/>
    <n v="9"/>
    <d v="2023-03-24T00:00:00"/>
    <n v="-26"/>
    <n v="26"/>
    <n v="0"/>
    <n v="26"/>
    <n v="114774"/>
  </r>
  <r>
    <s v="Site_83"/>
    <x v="1"/>
    <x v="2"/>
    <n v="24"/>
    <n v="60"/>
    <n v="59"/>
    <n v="9597"/>
    <n v="14"/>
    <d v="2023-03-25T00:00:00"/>
    <n v="-36"/>
    <n v="36"/>
    <n v="0"/>
    <n v="36"/>
    <n v="566223"/>
  </r>
  <r>
    <s v="Site_84"/>
    <x v="0"/>
    <x v="0"/>
    <n v="73"/>
    <n v="37"/>
    <n v="62"/>
    <n v="5437"/>
    <n v="8"/>
    <d v="2023-03-26T00:00:00"/>
    <n v="36"/>
    <n v="-36"/>
    <n v="36"/>
    <n v="0"/>
    <n v="337094"/>
  </r>
  <r>
    <s v="Site_85"/>
    <x v="0"/>
    <x v="1"/>
    <n v="98"/>
    <n v="40"/>
    <n v="1"/>
    <n v="6435"/>
    <n v="2"/>
    <d v="2023-03-27T00:00:00"/>
    <n v="58"/>
    <n v="-58"/>
    <n v="58"/>
    <n v="0"/>
    <n v="6435"/>
  </r>
  <r>
    <s v="Site_86"/>
    <x v="3"/>
    <x v="0"/>
    <n v="37"/>
    <n v="115"/>
    <n v="71"/>
    <n v="9435"/>
    <n v="10"/>
    <d v="2023-03-28T00:00:00"/>
    <n v="-78"/>
    <n v="78"/>
    <n v="0"/>
    <n v="78"/>
    <n v="669885"/>
  </r>
  <r>
    <s v="Site_87"/>
    <x v="2"/>
    <x v="0"/>
    <n v="83"/>
    <n v="24"/>
    <n v="10"/>
    <n v="5107"/>
    <n v="12"/>
    <d v="2023-03-29T00:00:00"/>
    <n v="59"/>
    <n v="-59"/>
    <n v="59"/>
    <n v="0"/>
    <n v="51070"/>
  </r>
  <r>
    <s v="Site_88"/>
    <x v="1"/>
    <x v="2"/>
    <n v="48"/>
    <n v="87"/>
    <n v="63"/>
    <n v="1560"/>
    <n v="4"/>
    <d v="2023-03-30T00:00:00"/>
    <n v="-39"/>
    <n v="39"/>
    <n v="0"/>
    <n v="39"/>
    <n v="98280"/>
  </r>
  <r>
    <s v="Site_89"/>
    <x v="3"/>
    <x v="0"/>
    <n v="66"/>
    <n v="103"/>
    <n v="76"/>
    <n v="9785"/>
    <n v="6"/>
    <d v="2023-03-31T00:00:00"/>
    <n v="-37"/>
    <n v="37"/>
    <n v="0"/>
    <n v="37"/>
    <n v="743660"/>
  </r>
  <r>
    <s v="Site_90"/>
    <x v="1"/>
    <x v="2"/>
    <n v="26"/>
    <n v="111"/>
    <n v="71"/>
    <n v="6548"/>
    <n v="12"/>
    <d v="2023-04-01T00:00:00"/>
    <n v="-85"/>
    <n v="85"/>
    <n v="0"/>
    <n v="85"/>
    <n v="464908"/>
  </r>
  <r>
    <s v="Site_91"/>
    <x v="1"/>
    <x v="1"/>
    <n v="95"/>
    <n v="85"/>
    <n v="20"/>
    <n v="2826"/>
    <n v="2"/>
    <d v="2023-04-02T00:00:00"/>
    <n v="10"/>
    <n v="-10"/>
    <n v="10"/>
    <n v="0"/>
    <n v="56520"/>
  </r>
  <r>
    <s v="Site_92"/>
    <x v="3"/>
    <x v="2"/>
    <n v="99"/>
    <n v="66"/>
    <n v="17"/>
    <n v="8629"/>
    <n v="7"/>
    <d v="2023-04-03T00:00:00"/>
    <n v="33"/>
    <n v="-33"/>
    <n v="33"/>
    <n v="0"/>
    <n v="146693"/>
  </r>
  <r>
    <s v="Site_93"/>
    <x v="3"/>
    <x v="1"/>
    <n v="53"/>
    <n v="113"/>
    <n v="63"/>
    <n v="9325"/>
    <n v="3"/>
    <d v="2023-04-04T00:00:00"/>
    <n v="-60"/>
    <n v="60"/>
    <n v="0"/>
    <n v="60"/>
    <n v="587475"/>
  </r>
  <r>
    <s v="Site_94"/>
    <x v="3"/>
    <x v="2"/>
    <n v="34"/>
    <n v="111"/>
    <n v="37"/>
    <n v="4138"/>
    <n v="13"/>
    <d v="2023-04-05T00:00:00"/>
    <n v="-77"/>
    <n v="77"/>
    <n v="0"/>
    <n v="77"/>
    <n v="153106"/>
  </r>
  <r>
    <s v="Site_95"/>
    <x v="3"/>
    <x v="0"/>
    <n v="26"/>
    <n v="102"/>
    <n v="31"/>
    <n v="8693"/>
    <n v="3"/>
    <d v="2023-04-06T00:00:00"/>
    <n v="-76"/>
    <n v="76"/>
    <n v="0"/>
    <n v="76"/>
    <n v="269483"/>
  </r>
  <r>
    <s v="Site_96"/>
    <x v="3"/>
    <x v="0"/>
    <n v="22"/>
    <n v="77"/>
    <n v="10"/>
    <n v="9264"/>
    <n v="11"/>
    <d v="2023-04-07T00:00:00"/>
    <n v="-55"/>
    <n v="55"/>
    <n v="0"/>
    <n v="55"/>
    <n v="92640"/>
  </r>
  <r>
    <s v="Site_97"/>
    <x v="1"/>
    <x v="1"/>
    <n v="93"/>
    <n v="30"/>
    <n v="44"/>
    <n v="8842"/>
    <n v="2"/>
    <d v="2023-04-08T00:00:00"/>
    <n v="63"/>
    <n v="-63"/>
    <n v="63"/>
    <n v="0"/>
    <n v="389048"/>
  </r>
  <r>
    <s v="Site_98"/>
    <x v="3"/>
    <x v="1"/>
    <n v="34"/>
    <n v="70"/>
    <n v="32"/>
    <n v="7721"/>
    <n v="11"/>
    <d v="2023-04-09T00:00:00"/>
    <n v="-36"/>
    <n v="36"/>
    <n v="0"/>
    <n v="36"/>
    <n v="247072"/>
  </r>
  <r>
    <s v="Site_99"/>
    <x v="2"/>
    <x v="1"/>
    <n v="77"/>
    <n v="77"/>
    <n v="40"/>
    <n v="8002"/>
    <n v="8"/>
    <d v="2023-04-10T00:00:00"/>
    <n v="0"/>
    <n v="0"/>
    <n v="0"/>
    <n v="0"/>
    <n v="320080"/>
  </r>
  <r>
    <s v="Site_100"/>
    <x v="0"/>
    <x v="2"/>
    <n v="19"/>
    <n v="77"/>
    <n v="7"/>
    <n v="5225"/>
    <n v="6"/>
    <d v="2023-04-11T00:00:00"/>
    <n v="-58"/>
    <n v="58"/>
    <n v="0"/>
    <n v="58"/>
    <n v="36575"/>
  </r>
  <r>
    <s v="Site_101"/>
    <x v="3"/>
    <x v="2"/>
    <n v="76"/>
    <n v="44"/>
    <n v="10"/>
    <n v="3978"/>
    <n v="1"/>
    <d v="2023-04-12T00:00:00"/>
    <n v="32"/>
    <n v="-32"/>
    <n v="32"/>
    <n v="0"/>
    <n v="39780"/>
  </r>
  <r>
    <s v="Site_102"/>
    <x v="3"/>
    <x v="1"/>
    <n v="27"/>
    <n v="21"/>
    <n v="50"/>
    <n v="8373"/>
    <n v="12"/>
    <d v="2023-04-13T00:00:00"/>
    <n v="6"/>
    <n v="-6"/>
    <n v="6"/>
    <n v="0"/>
    <n v="418650"/>
  </r>
  <r>
    <s v="Site_103"/>
    <x v="1"/>
    <x v="0"/>
    <n v="95"/>
    <n v="5"/>
    <n v="40"/>
    <n v="6907"/>
    <n v="1"/>
    <d v="2023-04-14T00:00:00"/>
    <n v="90"/>
    <n v="-90"/>
    <n v="90"/>
    <n v="0"/>
    <n v="276280"/>
  </r>
  <r>
    <s v="Site_104"/>
    <x v="3"/>
    <x v="2"/>
    <n v="43"/>
    <n v="93"/>
    <n v="16"/>
    <n v="7097"/>
    <n v="7"/>
    <d v="2023-04-15T00:00:00"/>
    <n v="-50"/>
    <n v="50"/>
    <n v="0"/>
    <n v="50"/>
    <n v="113552"/>
  </r>
  <r>
    <s v="Site_105"/>
    <x v="3"/>
    <x v="2"/>
    <n v="17"/>
    <n v="65"/>
    <n v="75"/>
    <n v="6656"/>
    <n v="8"/>
    <d v="2023-04-16T00:00:00"/>
    <n v="-48"/>
    <n v="48"/>
    <n v="0"/>
    <n v="48"/>
    <n v="499200"/>
  </r>
  <r>
    <s v="Site_106"/>
    <x v="3"/>
    <x v="2"/>
    <n v="49"/>
    <n v="47"/>
    <n v="45"/>
    <n v="9984"/>
    <n v="5"/>
    <d v="2023-04-17T00:00:00"/>
    <n v="2"/>
    <n v="-2"/>
    <n v="2"/>
    <n v="0"/>
    <n v="449280"/>
  </r>
  <r>
    <s v="Site_107"/>
    <x v="1"/>
    <x v="1"/>
    <n v="92"/>
    <n v="108"/>
    <n v="31"/>
    <n v="5259"/>
    <n v="12"/>
    <d v="2023-04-18T00:00:00"/>
    <n v="-16"/>
    <n v="16"/>
    <n v="0"/>
    <n v="16"/>
    <n v="163029"/>
  </r>
  <r>
    <s v="Site_108"/>
    <x v="3"/>
    <x v="1"/>
    <n v="51"/>
    <n v="46"/>
    <n v="78"/>
    <n v="9286"/>
    <n v="11"/>
    <d v="2023-04-19T00:00:00"/>
    <n v="5"/>
    <n v="-5"/>
    <n v="5"/>
    <n v="0"/>
    <n v="724308"/>
  </r>
  <r>
    <s v="Site_109"/>
    <x v="0"/>
    <x v="1"/>
    <n v="50"/>
    <n v="29"/>
    <n v="79"/>
    <n v="6901"/>
    <n v="5"/>
    <d v="2023-04-20T00:00:00"/>
    <n v="21"/>
    <n v="-21"/>
    <n v="21"/>
    <n v="0"/>
    <n v="545179"/>
  </r>
  <r>
    <s v="Site_110"/>
    <x v="1"/>
    <x v="1"/>
    <n v="15"/>
    <n v="43"/>
    <n v="53"/>
    <n v="5917"/>
    <n v="4"/>
    <d v="2023-04-21T00:00:00"/>
    <n v="-28"/>
    <n v="28"/>
    <n v="0"/>
    <n v="28"/>
    <n v="313601"/>
  </r>
  <r>
    <s v="Site_111"/>
    <x v="0"/>
    <x v="1"/>
    <n v="61"/>
    <n v="39"/>
    <n v="19"/>
    <n v="9429"/>
    <n v="14"/>
    <d v="2023-04-22T00:00:00"/>
    <n v="22"/>
    <n v="-22"/>
    <n v="22"/>
    <n v="0"/>
    <n v="179151"/>
  </r>
  <r>
    <s v="Site_112"/>
    <x v="1"/>
    <x v="0"/>
    <n v="35"/>
    <n v="7"/>
    <n v="32"/>
    <n v="3530"/>
    <n v="6"/>
    <d v="2023-04-23T00:00:00"/>
    <n v="28"/>
    <n v="-28"/>
    <n v="28"/>
    <n v="0"/>
    <n v="112960"/>
  </r>
  <r>
    <s v="Site_113"/>
    <x v="3"/>
    <x v="0"/>
    <n v="73"/>
    <n v="118"/>
    <n v="73"/>
    <n v="2960"/>
    <n v="14"/>
    <d v="2023-04-24T00:00:00"/>
    <n v="-45"/>
    <n v="45"/>
    <n v="0"/>
    <n v="45"/>
    <n v="216080"/>
  </r>
  <r>
    <s v="Site_114"/>
    <x v="0"/>
    <x v="1"/>
    <n v="68"/>
    <n v="105"/>
    <n v="39"/>
    <n v="8045"/>
    <n v="6"/>
    <d v="2023-04-25T00:00:00"/>
    <n v="-37"/>
    <n v="37"/>
    <n v="0"/>
    <n v="37"/>
    <n v="313755"/>
  </r>
  <r>
    <s v="Site_115"/>
    <x v="1"/>
    <x v="2"/>
    <n v="65"/>
    <n v="112"/>
    <n v="31"/>
    <n v="2048"/>
    <n v="3"/>
    <d v="2023-04-26T00:00:00"/>
    <n v="-47"/>
    <n v="47"/>
    <n v="0"/>
    <n v="47"/>
    <n v="63488"/>
  </r>
  <r>
    <s v="Site_116"/>
    <x v="2"/>
    <x v="1"/>
    <n v="68"/>
    <n v="48"/>
    <n v="1"/>
    <n v="6772"/>
    <n v="9"/>
    <d v="2023-04-27T00:00:00"/>
    <n v="20"/>
    <n v="-20"/>
    <n v="20"/>
    <n v="0"/>
    <n v="6772"/>
  </r>
  <r>
    <s v="Site_117"/>
    <x v="3"/>
    <x v="0"/>
    <n v="79"/>
    <n v="55"/>
    <n v="32"/>
    <n v="3529"/>
    <n v="12"/>
    <d v="2023-04-28T00:00:00"/>
    <n v="24"/>
    <n v="-24"/>
    <n v="24"/>
    <n v="0"/>
    <n v="112928"/>
  </r>
  <r>
    <s v="Site_118"/>
    <x v="1"/>
    <x v="0"/>
    <n v="42"/>
    <n v="98"/>
    <n v="76"/>
    <n v="3964"/>
    <n v="11"/>
    <d v="2023-04-29T00:00:00"/>
    <n v="-56"/>
    <n v="56"/>
    <n v="0"/>
    <n v="56"/>
    <n v="301264"/>
  </r>
  <r>
    <s v="Site_119"/>
    <x v="2"/>
    <x v="2"/>
    <n v="62"/>
    <n v="106"/>
    <n v="29"/>
    <n v="8137"/>
    <n v="14"/>
    <d v="2023-04-30T00:00:00"/>
    <n v="-44"/>
    <n v="44"/>
    <n v="0"/>
    <n v="44"/>
    <n v="235973"/>
  </r>
  <r>
    <s v="Site_120"/>
    <x v="1"/>
    <x v="0"/>
    <n v="31"/>
    <n v="102"/>
    <n v="32"/>
    <n v="1963"/>
    <n v="7"/>
    <d v="2023-05-01T00:00:00"/>
    <n v="-71"/>
    <n v="71"/>
    <n v="0"/>
    <n v="71"/>
    <n v="62816"/>
  </r>
  <r>
    <s v="Site_121"/>
    <x v="2"/>
    <x v="1"/>
    <n v="30"/>
    <n v="16"/>
    <n v="76"/>
    <n v="1536"/>
    <n v="1"/>
    <d v="2023-05-02T00:00:00"/>
    <n v="14"/>
    <n v="-14"/>
    <n v="14"/>
    <n v="0"/>
    <n v="116736"/>
  </r>
  <r>
    <s v="Site_122"/>
    <x v="3"/>
    <x v="2"/>
    <n v="79"/>
    <n v="23"/>
    <n v="25"/>
    <n v="8340"/>
    <n v="13"/>
    <d v="2023-05-03T00:00:00"/>
    <n v="56"/>
    <n v="-56"/>
    <n v="56"/>
    <n v="0"/>
    <n v="208500"/>
  </r>
  <r>
    <s v="Site_123"/>
    <x v="0"/>
    <x v="1"/>
    <n v="79"/>
    <n v="105"/>
    <n v="21"/>
    <n v="8179"/>
    <n v="7"/>
    <d v="2023-05-04T00:00:00"/>
    <n v="-26"/>
    <n v="26"/>
    <n v="0"/>
    <n v="26"/>
    <n v="171759"/>
  </r>
  <r>
    <s v="Site_124"/>
    <x v="2"/>
    <x v="1"/>
    <n v="13"/>
    <n v="48"/>
    <n v="65"/>
    <n v="8967"/>
    <n v="5"/>
    <d v="2023-05-05T00:00:00"/>
    <n v="-35"/>
    <n v="35"/>
    <n v="0"/>
    <n v="35"/>
    <n v="582855"/>
  </r>
  <r>
    <s v="Site_125"/>
    <x v="1"/>
    <x v="2"/>
    <n v="84"/>
    <n v="63"/>
    <n v="37"/>
    <n v="9734"/>
    <n v="5"/>
    <d v="2023-05-06T00:00:00"/>
    <n v="21"/>
    <n v="-21"/>
    <n v="21"/>
    <n v="0"/>
    <n v="360158"/>
  </r>
  <r>
    <s v="Site_126"/>
    <x v="3"/>
    <x v="1"/>
    <n v="71"/>
    <n v="53"/>
    <n v="45"/>
    <n v="1845"/>
    <n v="14"/>
    <d v="2023-05-07T00:00:00"/>
    <n v="18"/>
    <n v="-18"/>
    <n v="18"/>
    <n v="0"/>
    <n v="83025"/>
  </r>
  <r>
    <s v="Site_127"/>
    <x v="2"/>
    <x v="0"/>
    <n v="71"/>
    <n v="65"/>
    <n v="14"/>
    <n v="6777"/>
    <n v="13"/>
    <d v="2023-05-08T00:00:00"/>
    <n v="6"/>
    <n v="-6"/>
    <n v="6"/>
    <n v="0"/>
    <n v="94878"/>
  </r>
  <r>
    <s v="Site_128"/>
    <x v="1"/>
    <x v="1"/>
    <n v="33"/>
    <n v="21"/>
    <n v="43"/>
    <n v="4036"/>
    <n v="2"/>
    <d v="2023-05-09T00:00:00"/>
    <n v="12"/>
    <n v="-12"/>
    <n v="12"/>
    <n v="0"/>
    <n v="173548"/>
  </r>
  <r>
    <s v="Site_129"/>
    <x v="1"/>
    <x v="2"/>
    <n v="64"/>
    <n v="78"/>
    <n v="48"/>
    <n v="6947"/>
    <n v="4"/>
    <d v="2023-05-10T00:00:00"/>
    <n v="-14"/>
    <n v="14"/>
    <n v="0"/>
    <n v="14"/>
    <n v="333456"/>
  </r>
  <r>
    <s v="Site_130"/>
    <x v="1"/>
    <x v="2"/>
    <n v="18"/>
    <n v="61"/>
    <n v="74"/>
    <n v="3494"/>
    <n v="12"/>
    <d v="2023-05-11T00:00:00"/>
    <n v="-43"/>
    <n v="43"/>
    <n v="0"/>
    <n v="43"/>
    <n v="258556"/>
  </r>
  <r>
    <s v="Site_131"/>
    <x v="2"/>
    <x v="2"/>
    <n v="12"/>
    <n v="59"/>
    <n v="60"/>
    <n v="3719"/>
    <n v="6"/>
    <d v="2023-05-12T00:00:00"/>
    <n v="-47"/>
    <n v="47"/>
    <n v="0"/>
    <n v="47"/>
    <n v="223140"/>
  </r>
  <r>
    <s v="Site_132"/>
    <x v="2"/>
    <x v="1"/>
    <n v="40"/>
    <n v="117"/>
    <n v="66"/>
    <n v="2884"/>
    <n v="10"/>
    <d v="2023-05-13T00:00:00"/>
    <n v="-77"/>
    <n v="77"/>
    <n v="0"/>
    <n v="77"/>
    <n v="190344"/>
  </r>
  <r>
    <s v="Site_133"/>
    <x v="2"/>
    <x v="2"/>
    <n v="49"/>
    <n v="51"/>
    <n v="5"/>
    <n v="5349"/>
    <n v="11"/>
    <d v="2023-05-14T00:00:00"/>
    <n v="-2"/>
    <n v="2"/>
    <n v="0"/>
    <n v="2"/>
    <n v="26745"/>
  </r>
  <r>
    <s v="Site_134"/>
    <x v="0"/>
    <x v="2"/>
    <n v="45"/>
    <n v="16"/>
    <n v="8"/>
    <n v="6179"/>
    <n v="7"/>
    <d v="2023-05-15T00:00:00"/>
    <n v="29"/>
    <n v="-29"/>
    <n v="29"/>
    <n v="0"/>
    <n v="49432"/>
  </r>
  <r>
    <s v="Site_135"/>
    <x v="2"/>
    <x v="1"/>
    <n v="33"/>
    <n v="66"/>
    <n v="5"/>
    <n v="7610"/>
    <n v="11"/>
    <d v="2023-05-16T00:00:00"/>
    <n v="-33"/>
    <n v="33"/>
    <n v="0"/>
    <n v="33"/>
    <n v="38050"/>
  </r>
  <r>
    <s v="Site_136"/>
    <x v="2"/>
    <x v="0"/>
    <n v="15"/>
    <n v="84"/>
    <n v="72"/>
    <n v="7430"/>
    <n v="5"/>
    <d v="2023-05-17T00:00:00"/>
    <n v="-69"/>
    <n v="69"/>
    <n v="0"/>
    <n v="69"/>
    <n v="534960"/>
  </r>
  <r>
    <s v="Site_137"/>
    <x v="2"/>
    <x v="1"/>
    <n v="75"/>
    <n v="92"/>
    <n v="31"/>
    <n v="8154"/>
    <n v="9"/>
    <d v="2023-05-18T00:00:00"/>
    <n v="-17"/>
    <n v="17"/>
    <n v="0"/>
    <n v="17"/>
    <n v="252774"/>
  </r>
  <r>
    <s v="Site_138"/>
    <x v="0"/>
    <x v="2"/>
    <n v="93"/>
    <n v="87"/>
    <n v="40"/>
    <n v="7488"/>
    <n v="3"/>
    <d v="2023-05-19T00:00:00"/>
    <n v="6"/>
    <n v="-6"/>
    <n v="6"/>
    <n v="0"/>
    <n v="299520"/>
  </r>
  <r>
    <s v="Site_139"/>
    <x v="2"/>
    <x v="2"/>
    <n v="84"/>
    <n v="12"/>
    <n v="75"/>
    <n v="5737"/>
    <n v="1"/>
    <d v="2023-05-20T00:00:00"/>
    <n v="72"/>
    <n v="-72"/>
    <n v="72"/>
    <n v="0"/>
    <n v="430275"/>
  </r>
  <r>
    <s v="Site_140"/>
    <x v="1"/>
    <x v="1"/>
    <n v="13"/>
    <n v="99"/>
    <n v="7"/>
    <n v="7525"/>
    <n v="4"/>
    <d v="2023-05-21T00:00:00"/>
    <n v="-86"/>
    <n v="86"/>
    <n v="0"/>
    <n v="86"/>
    <n v="52675"/>
  </r>
  <r>
    <s v="Site_141"/>
    <x v="2"/>
    <x v="0"/>
    <n v="88"/>
    <n v="25"/>
    <n v="71"/>
    <n v="4850"/>
    <n v="9"/>
    <d v="2023-05-22T00:00:00"/>
    <n v="63"/>
    <n v="-63"/>
    <n v="63"/>
    <n v="0"/>
    <n v="344350"/>
  </r>
  <r>
    <s v="Site_142"/>
    <x v="1"/>
    <x v="2"/>
    <n v="15"/>
    <n v="85"/>
    <n v="49"/>
    <n v="1689"/>
    <n v="4"/>
    <d v="2023-05-23T00:00:00"/>
    <n v="-70"/>
    <n v="70"/>
    <n v="0"/>
    <n v="70"/>
    <n v="82761"/>
  </r>
  <r>
    <s v="Site_143"/>
    <x v="1"/>
    <x v="2"/>
    <n v="60"/>
    <n v="91"/>
    <n v="61"/>
    <n v="6175"/>
    <n v="2"/>
    <d v="2023-05-24T00:00:00"/>
    <n v="-31"/>
    <n v="31"/>
    <n v="0"/>
    <n v="31"/>
    <n v="376675"/>
  </r>
  <r>
    <s v="Site_144"/>
    <x v="1"/>
    <x v="2"/>
    <n v="71"/>
    <n v="105"/>
    <n v="61"/>
    <n v="9648"/>
    <n v="10"/>
    <d v="2023-05-25T00:00:00"/>
    <n v="-34"/>
    <n v="34"/>
    <n v="0"/>
    <n v="34"/>
    <n v="588528"/>
  </r>
  <r>
    <s v="Site_145"/>
    <x v="0"/>
    <x v="1"/>
    <n v="66"/>
    <n v="84"/>
    <n v="6"/>
    <n v="6078"/>
    <n v="14"/>
    <d v="2023-05-26T00:00:00"/>
    <n v="-18"/>
    <n v="18"/>
    <n v="0"/>
    <n v="18"/>
    <n v="36468"/>
  </r>
  <r>
    <s v="Site_146"/>
    <x v="0"/>
    <x v="2"/>
    <n v="75"/>
    <n v="74"/>
    <n v="74"/>
    <n v="6448"/>
    <n v="14"/>
    <d v="2023-05-27T00:00:00"/>
    <n v="1"/>
    <n v="-1"/>
    <n v="1"/>
    <n v="0"/>
    <n v="477152"/>
  </r>
  <r>
    <s v="Site_147"/>
    <x v="0"/>
    <x v="0"/>
    <n v="88"/>
    <n v="76"/>
    <n v="79"/>
    <n v="2179"/>
    <n v="5"/>
    <d v="2023-05-28T00:00:00"/>
    <n v="12"/>
    <n v="-12"/>
    <n v="12"/>
    <n v="0"/>
    <n v="172141"/>
  </r>
  <r>
    <s v="Site_148"/>
    <x v="2"/>
    <x v="2"/>
    <n v="84"/>
    <n v="29"/>
    <n v="3"/>
    <n v="7406"/>
    <n v="3"/>
    <d v="2023-05-29T00:00:00"/>
    <n v="55"/>
    <n v="-55"/>
    <n v="55"/>
    <n v="0"/>
    <n v="22218"/>
  </r>
  <r>
    <s v="Site_149"/>
    <x v="1"/>
    <x v="2"/>
    <n v="17"/>
    <n v="86"/>
    <n v="5"/>
    <n v="9591"/>
    <n v="13"/>
    <d v="2023-05-30T00:00:00"/>
    <n v="-69"/>
    <n v="69"/>
    <n v="0"/>
    <n v="69"/>
    <n v="47955"/>
  </r>
  <r>
    <s v="Site_150"/>
    <x v="0"/>
    <x v="0"/>
    <n v="35"/>
    <n v="93"/>
    <n v="57"/>
    <n v="7907"/>
    <n v="12"/>
    <d v="2023-05-31T00:00:00"/>
    <n v="-58"/>
    <n v="58"/>
    <n v="0"/>
    <n v="58"/>
    <n v="450699"/>
  </r>
  <r>
    <s v="Site_151"/>
    <x v="0"/>
    <x v="2"/>
    <n v="60"/>
    <n v="16"/>
    <n v="21"/>
    <n v="9800"/>
    <n v="13"/>
    <d v="2023-06-01T00:00:00"/>
    <n v="44"/>
    <n v="-44"/>
    <n v="44"/>
    <n v="0"/>
    <n v="205800"/>
  </r>
  <r>
    <s v="Site_152"/>
    <x v="2"/>
    <x v="1"/>
    <n v="54"/>
    <n v="19"/>
    <n v="25"/>
    <n v="2638"/>
    <n v="9"/>
    <d v="2023-06-02T00:00:00"/>
    <n v="35"/>
    <n v="-35"/>
    <n v="35"/>
    <n v="0"/>
    <n v="65950"/>
  </r>
  <r>
    <s v="Site_153"/>
    <x v="0"/>
    <x v="1"/>
    <n v="53"/>
    <n v="63"/>
    <n v="2"/>
    <n v="6671"/>
    <n v="4"/>
    <d v="2023-06-03T00:00:00"/>
    <n v="-10"/>
    <n v="10"/>
    <n v="0"/>
    <n v="10"/>
    <n v="13342"/>
  </r>
  <r>
    <s v="Site_154"/>
    <x v="2"/>
    <x v="1"/>
    <n v="14"/>
    <n v="30"/>
    <n v="40"/>
    <n v="7928"/>
    <n v="6"/>
    <d v="2023-06-04T00:00:00"/>
    <n v="-16"/>
    <n v="16"/>
    <n v="0"/>
    <n v="16"/>
    <n v="317120"/>
  </r>
  <r>
    <s v="Site_155"/>
    <x v="3"/>
    <x v="0"/>
    <n v="79"/>
    <n v="109"/>
    <n v="59"/>
    <n v="2382"/>
    <n v="2"/>
    <d v="2023-06-05T00:00:00"/>
    <n v="-30"/>
    <n v="30"/>
    <n v="0"/>
    <n v="30"/>
    <n v="140538"/>
  </r>
  <r>
    <s v="Site_156"/>
    <x v="0"/>
    <x v="2"/>
    <n v="35"/>
    <n v="113"/>
    <n v="13"/>
    <n v="2403"/>
    <n v="6"/>
    <d v="2023-06-06T00:00:00"/>
    <n v="-78"/>
    <n v="78"/>
    <n v="0"/>
    <n v="78"/>
    <n v="31239"/>
  </r>
  <r>
    <s v="Site_157"/>
    <x v="3"/>
    <x v="1"/>
    <n v="77"/>
    <n v="30"/>
    <n v="74"/>
    <n v="4292"/>
    <n v="3"/>
    <d v="2023-06-07T00:00:00"/>
    <n v="47"/>
    <n v="-47"/>
    <n v="47"/>
    <n v="0"/>
    <n v="317608"/>
  </r>
  <r>
    <s v="Site_158"/>
    <x v="2"/>
    <x v="0"/>
    <n v="28"/>
    <n v="51"/>
    <n v="11"/>
    <n v="1419"/>
    <n v="12"/>
    <d v="2023-06-08T00:00:00"/>
    <n v="-23"/>
    <n v="23"/>
    <n v="0"/>
    <n v="23"/>
    <n v="15609"/>
  </r>
  <r>
    <s v="Site_159"/>
    <x v="1"/>
    <x v="2"/>
    <n v="93"/>
    <n v="36"/>
    <n v="11"/>
    <n v="5517"/>
    <n v="12"/>
    <d v="2023-06-09T00:00:00"/>
    <n v="57"/>
    <n v="-57"/>
    <n v="57"/>
    <n v="0"/>
    <n v="60687"/>
  </r>
  <r>
    <s v="Site_160"/>
    <x v="0"/>
    <x v="0"/>
    <n v="29"/>
    <n v="14"/>
    <n v="12"/>
    <n v="4302"/>
    <n v="9"/>
    <d v="2023-06-10T00:00:00"/>
    <n v="15"/>
    <n v="-15"/>
    <n v="15"/>
    <n v="0"/>
    <n v="51624"/>
  </r>
  <r>
    <s v="Site_161"/>
    <x v="2"/>
    <x v="1"/>
    <n v="21"/>
    <n v="20"/>
    <n v="24"/>
    <n v="8857"/>
    <n v="11"/>
    <d v="2023-06-11T00:00:00"/>
    <n v="1"/>
    <n v="-1"/>
    <n v="1"/>
    <n v="0"/>
    <n v="212568"/>
  </r>
  <r>
    <s v="Site_162"/>
    <x v="1"/>
    <x v="1"/>
    <n v="56"/>
    <n v="75"/>
    <n v="44"/>
    <n v="8870"/>
    <n v="2"/>
    <d v="2023-06-12T00:00:00"/>
    <n v="-19"/>
    <n v="19"/>
    <n v="0"/>
    <n v="19"/>
    <n v="390280"/>
  </r>
  <r>
    <s v="Site_163"/>
    <x v="1"/>
    <x v="1"/>
    <n v="10"/>
    <n v="21"/>
    <n v="18"/>
    <n v="6693"/>
    <n v="12"/>
    <d v="2023-06-13T00:00:00"/>
    <n v="-11"/>
    <n v="11"/>
    <n v="0"/>
    <n v="11"/>
    <n v="120474"/>
  </r>
  <r>
    <s v="Site_164"/>
    <x v="3"/>
    <x v="0"/>
    <n v="99"/>
    <n v="27"/>
    <n v="54"/>
    <n v="1767"/>
    <n v="12"/>
    <d v="2023-06-14T00:00:00"/>
    <n v="72"/>
    <n v="-72"/>
    <n v="72"/>
    <n v="0"/>
    <n v="95418"/>
  </r>
  <r>
    <s v="Site_165"/>
    <x v="2"/>
    <x v="0"/>
    <n v="23"/>
    <n v="30"/>
    <n v="44"/>
    <n v="3044"/>
    <n v="9"/>
    <d v="2023-06-15T00:00:00"/>
    <n v="-7"/>
    <n v="7"/>
    <n v="0"/>
    <n v="7"/>
    <n v="133936"/>
  </r>
  <r>
    <s v="Site_166"/>
    <x v="1"/>
    <x v="1"/>
    <n v="73"/>
    <n v="89"/>
    <n v="7"/>
    <n v="2549"/>
    <n v="5"/>
    <d v="2023-06-16T00:00:00"/>
    <n v="-16"/>
    <n v="16"/>
    <n v="0"/>
    <n v="16"/>
    <n v="17843"/>
  </r>
  <r>
    <s v="Site_167"/>
    <x v="0"/>
    <x v="0"/>
    <n v="47"/>
    <n v="90"/>
    <n v="52"/>
    <n v="7140"/>
    <n v="8"/>
    <d v="2023-06-17T00:00:00"/>
    <n v="-43"/>
    <n v="43"/>
    <n v="0"/>
    <n v="43"/>
    <n v="371280"/>
  </r>
  <r>
    <s v="Site_168"/>
    <x v="0"/>
    <x v="1"/>
    <n v="46"/>
    <n v="11"/>
    <n v="54"/>
    <n v="4716"/>
    <n v="2"/>
    <d v="2023-06-18T00:00:00"/>
    <n v="35"/>
    <n v="-35"/>
    <n v="35"/>
    <n v="0"/>
    <n v="254664"/>
  </r>
  <r>
    <s v="Site_169"/>
    <x v="3"/>
    <x v="1"/>
    <n v="20"/>
    <n v="18"/>
    <n v="31"/>
    <n v="5481"/>
    <n v="6"/>
    <d v="2023-06-19T00:00:00"/>
    <n v="2"/>
    <n v="-2"/>
    <n v="2"/>
    <n v="0"/>
    <n v="169911"/>
  </r>
  <r>
    <s v="Site_170"/>
    <x v="1"/>
    <x v="2"/>
    <n v="86"/>
    <n v="83"/>
    <n v="50"/>
    <n v="8898"/>
    <n v="3"/>
    <d v="2023-06-20T00:00:00"/>
    <n v="3"/>
    <n v="-3"/>
    <n v="3"/>
    <n v="0"/>
    <n v="444900"/>
  </r>
  <r>
    <s v="Site_171"/>
    <x v="2"/>
    <x v="0"/>
    <n v="12"/>
    <n v="11"/>
    <n v="43"/>
    <n v="7548"/>
    <n v="12"/>
    <d v="2023-06-21T00:00:00"/>
    <n v="1"/>
    <n v="-1"/>
    <n v="1"/>
    <n v="0"/>
    <n v="324564"/>
  </r>
  <r>
    <s v="Site_172"/>
    <x v="0"/>
    <x v="1"/>
    <n v="42"/>
    <n v="13"/>
    <n v="69"/>
    <n v="3293"/>
    <n v="12"/>
    <d v="2023-06-22T00:00:00"/>
    <n v="29"/>
    <n v="-29"/>
    <n v="29"/>
    <n v="0"/>
    <n v="227217"/>
  </r>
  <r>
    <s v="Site_173"/>
    <x v="1"/>
    <x v="1"/>
    <n v="15"/>
    <n v="119"/>
    <n v="17"/>
    <n v="5837"/>
    <n v="14"/>
    <d v="2023-06-23T00:00:00"/>
    <n v="-104"/>
    <n v="104"/>
    <n v="0"/>
    <n v="104"/>
    <n v="99229"/>
  </r>
  <r>
    <s v="Site_174"/>
    <x v="1"/>
    <x v="0"/>
    <n v="59"/>
    <n v="52"/>
    <n v="21"/>
    <n v="8758"/>
    <n v="10"/>
    <d v="2023-06-24T00:00:00"/>
    <n v="7"/>
    <n v="-7"/>
    <n v="7"/>
    <n v="0"/>
    <n v="183918"/>
  </r>
  <r>
    <s v="Site_175"/>
    <x v="3"/>
    <x v="2"/>
    <n v="19"/>
    <n v="76"/>
    <n v="36"/>
    <n v="7793"/>
    <n v="5"/>
    <d v="2023-06-25T00:00:00"/>
    <n v="-57"/>
    <n v="57"/>
    <n v="0"/>
    <n v="57"/>
    <n v="280548"/>
  </r>
  <r>
    <s v="Site_176"/>
    <x v="0"/>
    <x v="2"/>
    <n v="14"/>
    <n v="118"/>
    <n v="55"/>
    <n v="8638"/>
    <n v="12"/>
    <d v="2023-06-26T00:00:00"/>
    <n v="-104"/>
    <n v="104"/>
    <n v="0"/>
    <n v="104"/>
    <n v="475090"/>
  </r>
  <r>
    <s v="Site_177"/>
    <x v="0"/>
    <x v="1"/>
    <n v="32"/>
    <n v="63"/>
    <n v="58"/>
    <n v="8993"/>
    <n v="8"/>
    <d v="2023-06-27T00:00:00"/>
    <n v="-31"/>
    <n v="31"/>
    <n v="0"/>
    <n v="31"/>
    <n v="521594"/>
  </r>
  <r>
    <s v="Site_178"/>
    <x v="2"/>
    <x v="0"/>
    <n v="19"/>
    <n v="91"/>
    <n v="2"/>
    <n v="7007"/>
    <n v="10"/>
    <d v="2023-06-28T00:00:00"/>
    <n v="-72"/>
    <n v="72"/>
    <n v="0"/>
    <n v="72"/>
    <n v="14014"/>
  </r>
  <r>
    <s v="Site_179"/>
    <x v="0"/>
    <x v="2"/>
    <n v="53"/>
    <n v="97"/>
    <n v="27"/>
    <n v="6542"/>
    <n v="14"/>
    <d v="2023-06-29T00:00:00"/>
    <n v="-44"/>
    <n v="44"/>
    <n v="0"/>
    <n v="44"/>
    <n v="176634"/>
  </r>
  <r>
    <s v="Site_180"/>
    <x v="2"/>
    <x v="0"/>
    <n v="11"/>
    <n v="86"/>
    <n v="73"/>
    <n v="7356"/>
    <n v="1"/>
    <d v="2023-06-30T00:00:00"/>
    <n v="-75"/>
    <n v="75"/>
    <n v="0"/>
    <n v="75"/>
    <n v="536988"/>
  </r>
  <r>
    <s v="Site_181"/>
    <x v="0"/>
    <x v="0"/>
    <n v="22"/>
    <n v="99"/>
    <n v="34"/>
    <n v="9433"/>
    <n v="5"/>
    <d v="2023-07-01T00:00:00"/>
    <n v="-77"/>
    <n v="77"/>
    <n v="0"/>
    <n v="77"/>
    <n v="320722"/>
  </r>
  <r>
    <s v="Site_182"/>
    <x v="3"/>
    <x v="1"/>
    <n v="49"/>
    <n v="98"/>
    <n v="60"/>
    <n v="8380"/>
    <n v="3"/>
    <d v="2023-07-02T00:00:00"/>
    <n v="-49"/>
    <n v="49"/>
    <n v="0"/>
    <n v="49"/>
    <n v="502800"/>
  </r>
  <r>
    <s v="Site_183"/>
    <x v="0"/>
    <x v="2"/>
    <n v="11"/>
    <n v="43"/>
    <n v="53"/>
    <n v="3385"/>
    <n v="4"/>
    <d v="2023-07-03T00:00:00"/>
    <n v="-32"/>
    <n v="32"/>
    <n v="0"/>
    <n v="32"/>
    <n v="179405"/>
  </r>
  <r>
    <s v="Site_184"/>
    <x v="2"/>
    <x v="1"/>
    <n v="93"/>
    <n v="103"/>
    <n v="62"/>
    <n v="5268"/>
    <n v="2"/>
    <d v="2023-07-04T00:00:00"/>
    <n v="-10"/>
    <n v="10"/>
    <n v="0"/>
    <n v="10"/>
    <n v="326616"/>
  </r>
  <r>
    <s v="Site_185"/>
    <x v="2"/>
    <x v="2"/>
    <n v="74"/>
    <n v="22"/>
    <n v="78"/>
    <n v="1671"/>
    <n v="9"/>
    <d v="2023-07-05T00:00:00"/>
    <n v="52"/>
    <n v="-52"/>
    <n v="52"/>
    <n v="0"/>
    <n v="130338"/>
  </r>
  <r>
    <s v="Site_186"/>
    <x v="3"/>
    <x v="2"/>
    <n v="72"/>
    <n v="63"/>
    <n v="6"/>
    <n v="1163"/>
    <n v="3"/>
    <d v="2023-07-06T00:00:00"/>
    <n v="9"/>
    <n v="-9"/>
    <n v="9"/>
    <n v="0"/>
    <n v="6978"/>
  </r>
  <r>
    <s v="Site_187"/>
    <x v="0"/>
    <x v="2"/>
    <n v="82"/>
    <n v="110"/>
    <n v="75"/>
    <n v="9656"/>
    <n v="2"/>
    <d v="2023-07-07T00:00:00"/>
    <n v="-28"/>
    <n v="28"/>
    <n v="0"/>
    <n v="28"/>
    <n v="724200"/>
  </r>
  <r>
    <s v="Site_188"/>
    <x v="0"/>
    <x v="2"/>
    <n v="26"/>
    <n v="107"/>
    <n v="48"/>
    <n v="5592"/>
    <n v="10"/>
    <d v="2023-07-08T00:00:00"/>
    <n v="-81"/>
    <n v="81"/>
    <n v="0"/>
    <n v="81"/>
    <n v="268416"/>
  </r>
  <r>
    <s v="Site_189"/>
    <x v="3"/>
    <x v="2"/>
    <n v="18"/>
    <n v="21"/>
    <n v="30"/>
    <n v="5795"/>
    <n v="11"/>
    <d v="2023-07-09T00:00:00"/>
    <n v="-3"/>
    <n v="3"/>
    <n v="0"/>
    <n v="3"/>
    <n v="173850"/>
  </r>
  <r>
    <s v="Site_190"/>
    <x v="0"/>
    <x v="0"/>
    <n v="84"/>
    <n v="18"/>
    <n v="57"/>
    <n v="5798"/>
    <n v="9"/>
    <d v="2023-07-10T00:00:00"/>
    <n v="66"/>
    <n v="-66"/>
    <n v="66"/>
    <n v="0"/>
    <n v="330486"/>
  </r>
  <r>
    <s v="Site_191"/>
    <x v="0"/>
    <x v="1"/>
    <n v="24"/>
    <n v="35"/>
    <n v="60"/>
    <n v="7036"/>
    <n v="7"/>
    <d v="2023-07-11T00:00:00"/>
    <n v="-11"/>
    <n v="11"/>
    <n v="0"/>
    <n v="11"/>
    <n v="422160"/>
  </r>
  <r>
    <s v="Site_192"/>
    <x v="2"/>
    <x v="0"/>
    <n v="33"/>
    <n v="28"/>
    <n v="23"/>
    <n v="3355"/>
    <n v="6"/>
    <d v="2023-07-12T00:00:00"/>
    <n v="5"/>
    <n v="-5"/>
    <n v="5"/>
    <n v="0"/>
    <n v="77165"/>
  </r>
  <r>
    <s v="Site_193"/>
    <x v="0"/>
    <x v="2"/>
    <n v="47"/>
    <n v="103"/>
    <n v="19"/>
    <n v="6887"/>
    <n v="1"/>
    <d v="2023-07-13T00:00:00"/>
    <n v="-56"/>
    <n v="56"/>
    <n v="0"/>
    <n v="56"/>
    <n v="130853"/>
  </r>
  <r>
    <s v="Site_194"/>
    <x v="0"/>
    <x v="1"/>
    <n v="44"/>
    <n v="112"/>
    <n v="36"/>
    <n v="8961"/>
    <n v="5"/>
    <d v="2023-07-14T00:00:00"/>
    <n v="-68"/>
    <n v="68"/>
    <n v="0"/>
    <n v="68"/>
    <n v="322596"/>
  </r>
  <r>
    <s v="Site_195"/>
    <x v="3"/>
    <x v="2"/>
    <n v="58"/>
    <n v="64"/>
    <n v="3"/>
    <n v="6827"/>
    <n v="12"/>
    <d v="2023-07-15T00:00:00"/>
    <n v="-6"/>
    <n v="6"/>
    <n v="0"/>
    <n v="6"/>
    <n v="20481"/>
  </r>
  <r>
    <s v="Site_196"/>
    <x v="3"/>
    <x v="1"/>
    <n v="78"/>
    <n v="49"/>
    <n v="19"/>
    <n v="9737"/>
    <n v="11"/>
    <d v="2023-07-16T00:00:00"/>
    <n v="29"/>
    <n v="-29"/>
    <n v="29"/>
    <n v="0"/>
    <n v="185003"/>
  </r>
  <r>
    <s v="Site_197"/>
    <x v="1"/>
    <x v="0"/>
    <n v="71"/>
    <n v="102"/>
    <n v="59"/>
    <n v="5719"/>
    <n v="14"/>
    <d v="2023-07-17T00:00:00"/>
    <n v="-31"/>
    <n v="31"/>
    <n v="0"/>
    <n v="31"/>
    <n v="337421"/>
  </r>
  <r>
    <s v="Site_198"/>
    <x v="2"/>
    <x v="1"/>
    <n v="69"/>
    <n v="7"/>
    <n v="23"/>
    <n v="1593"/>
    <n v="11"/>
    <d v="2023-07-18T00:00:00"/>
    <n v="62"/>
    <n v="-62"/>
    <n v="62"/>
    <n v="0"/>
    <n v="36639"/>
  </r>
  <r>
    <s v="Site_199"/>
    <x v="0"/>
    <x v="1"/>
    <n v="59"/>
    <n v="41"/>
    <n v="49"/>
    <n v="5839"/>
    <n v="3"/>
    <d v="2023-07-19T00:00:00"/>
    <n v="18"/>
    <n v="-18"/>
    <n v="18"/>
    <n v="0"/>
    <n v="286111"/>
  </r>
  <r>
    <s v="Site_200"/>
    <x v="0"/>
    <x v="1"/>
    <n v="87"/>
    <n v="47"/>
    <n v="48"/>
    <n v="8394"/>
    <n v="1"/>
    <d v="2023-07-20T00:00:00"/>
    <n v="40"/>
    <n v="-40"/>
    <n v="40"/>
    <n v="0"/>
    <n v="402912"/>
  </r>
  <r>
    <s v="Site_201"/>
    <x v="1"/>
    <x v="1"/>
    <n v="84"/>
    <n v="44"/>
    <n v="50"/>
    <n v="4493"/>
    <n v="4"/>
    <d v="2023-07-21T00:00:00"/>
    <n v="40"/>
    <n v="-40"/>
    <n v="40"/>
    <n v="0"/>
    <n v="224650"/>
  </r>
  <r>
    <s v="Site_202"/>
    <x v="0"/>
    <x v="1"/>
    <n v="18"/>
    <n v="94"/>
    <n v="35"/>
    <n v="7164"/>
    <n v="13"/>
    <d v="2023-07-22T00:00:00"/>
    <n v="-76"/>
    <n v="76"/>
    <n v="0"/>
    <n v="76"/>
    <n v="250740"/>
  </r>
  <r>
    <s v="Site_203"/>
    <x v="2"/>
    <x v="2"/>
    <n v="43"/>
    <n v="59"/>
    <n v="65"/>
    <n v="3672"/>
    <n v="2"/>
    <d v="2023-07-23T00:00:00"/>
    <n v="-16"/>
    <n v="16"/>
    <n v="0"/>
    <n v="16"/>
    <n v="238680"/>
  </r>
  <r>
    <s v="Site_204"/>
    <x v="1"/>
    <x v="1"/>
    <n v="85"/>
    <n v="91"/>
    <n v="78"/>
    <n v="5200"/>
    <n v="2"/>
    <d v="2023-07-24T00:00:00"/>
    <n v="-6"/>
    <n v="6"/>
    <n v="0"/>
    <n v="6"/>
    <n v="405600"/>
  </r>
  <r>
    <s v="Site_205"/>
    <x v="2"/>
    <x v="1"/>
    <n v="44"/>
    <n v="112"/>
    <n v="33"/>
    <n v="1016"/>
    <n v="3"/>
    <d v="2023-07-25T00:00:00"/>
    <n v="-68"/>
    <n v="68"/>
    <n v="0"/>
    <n v="68"/>
    <n v="33528"/>
  </r>
  <r>
    <s v="Site_206"/>
    <x v="1"/>
    <x v="0"/>
    <n v="10"/>
    <n v="43"/>
    <n v="35"/>
    <n v="4191"/>
    <n v="8"/>
    <d v="2023-07-26T00:00:00"/>
    <n v="-33"/>
    <n v="33"/>
    <n v="0"/>
    <n v="33"/>
    <n v="146685"/>
  </r>
  <r>
    <s v="Site_207"/>
    <x v="1"/>
    <x v="1"/>
    <n v="49"/>
    <n v="19"/>
    <n v="5"/>
    <n v="1392"/>
    <n v="8"/>
    <d v="2023-07-27T00:00:00"/>
    <n v="30"/>
    <n v="-30"/>
    <n v="30"/>
    <n v="0"/>
    <n v="6960"/>
  </r>
  <r>
    <s v="Site_208"/>
    <x v="3"/>
    <x v="0"/>
    <n v="73"/>
    <n v="117"/>
    <n v="38"/>
    <n v="9616"/>
    <n v="12"/>
    <d v="2023-07-28T00:00:00"/>
    <n v="-44"/>
    <n v="44"/>
    <n v="0"/>
    <n v="44"/>
    <n v="365408"/>
  </r>
  <r>
    <s v="Site_209"/>
    <x v="2"/>
    <x v="2"/>
    <n v="31"/>
    <n v="8"/>
    <n v="41"/>
    <n v="7272"/>
    <n v="7"/>
    <d v="2023-07-29T00:00:00"/>
    <n v="23"/>
    <n v="-23"/>
    <n v="23"/>
    <n v="0"/>
    <n v="298152"/>
  </r>
  <r>
    <s v="Site_210"/>
    <x v="0"/>
    <x v="1"/>
    <n v="69"/>
    <n v="97"/>
    <n v="57"/>
    <n v="1571"/>
    <n v="6"/>
    <d v="2023-07-30T00:00:00"/>
    <n v="-28"/>
    <n v="28"/>
    <n v="0"/>
    <n v="28"/>
    <n v="89547"/>
  </r>
  <r>
    <s v="Site_211"/>
    <x v="0"/>
    <x v="0"/>
    <n v="73"/>
    <n v="90"/>
    <n v="11"/>
    <n v="4631"/>
    <n v="9"/>
    <d v="2023-07-31T00:00:00"/>
    <n v="-17"/>
    <n v="17"/>
    <n v="0"/>
    <n v="17"/>
    <n v="50941"/>
  </r>
  <r>
    <s v="Site_212"/>
    <x v="2"/>
    <x v="0"/>
    <n v="81"/>
    <n v="29"/>
    <n v="2"/>
    <n v="7172"/>
    <n v="4"/>
    <d v="2023-08-01T00:00:00"/>
    <n v="52"/>
    <n v="-52"/>
    <n v="52"/>
    <n v="0"/>
    <n v="14344"/>
  </r>
  <r>
    <s v="Site_213"/>
    <x v="0"/>
    <x v="2"/>
    <n v="20"/>
    <n v="17"/>
    <n v="17"/>
    <n v="8177"/>
    <n v="12"/>
    <d v="2023-08-02T00:00:00"/>
    <n v="3"/>
    <n v="-3"/>
    <n v="3"/>
    <n v="0"/>
    <n v="139009"/>
  </r>
  <r>
    <s v="Site_214"/>
    <x v="0"/>
    <x v="1"/>
    <n v="23"/>
    <n v="86"/>
    <n v="39"/>
    <n v="9433"/>
    <n v="1"/>
    <d v="2023-08-03T00:00:00"/>
    <n v="-63"/>
    <n v="63"/>
    <n v="0"/>
    <n v="63"/>
    <n v="367887"/>
  </r>
  <r>
    <s v="Site_215"/>
    <x v="2"/>
    <x v="1"/>
    <n v="69"/>
    <n v="37"/>
    <n v="20"/>
    <n v="4897"/>
    <n v="8"/>
    <d v="2023-08-04T00:00:00"/>
    <n v="32"/>
    <n v="-32"/>
    <n v="32"/>
    <n v="0"/>
    <n v="97940"/>
  </r>
  <r>
    <s v="Site_216"/>
    <x v="1"/>
    <x v="0"/>
    <n v="39"/>
    <n v="20"/>
    <n v="14"/>
    <n v="9123"/>
    <n v="7"/>
    <d v="2023-08-05T00:00:00"/>
    <n v="19"/>
    <n v="-19"/>
    <n v="19"/>
    <n v="0"/>
    <n v="127722"/>
  </r>
  <r>
    <s v="Site_217"/>
    <x v="2"/>
    <x v="1"/>
    <n v="44"/>
    <n v="113"/>
    <n v="25"/>
    <n v="3279"/>
    <n v="7"/>
    <d v="2023-08-06T00:00:00"/>
    <n v="-69"/>
    <n v="69"/>
    <n v="0"/>
    <n v="69"/>
    <n v="81975"/>
  </r>
  <r>
    <s v="Site_218"/>
    <x v="1"/>
    <x v="0"/>
    <n v="94"/>
    <n v="46"/>
    <n v="7"/>
    <n v="9980"/>
    <n v="3"/>
    <d v="2023-08-07T00:00:00"/>
    <n v="48"/>
    <n v="-48"/>
    <n v="48"/>
    <n v="0"/>
    <n v="69860"/>
  </r>
  <r>
    <s v="Site_219"/>
    <x v="0"/>
    <x v="1"/>
    <n v="46"/>
    <n v="112"/>
    <n v="41"/>
    <n v="8451"/>
    <n v="4"/>
    <d v="2023-08-08T00:00:00"/>
    <n v="-66"/>
    <n v="66"/>
    <n v="0"/>
    <n v="66"/>
    <n v="346491"/>
  </r>
  <r>
    <s v="Site_220"/>
    <x v="0"/>
    <x v="0"/>
    <n v="14"/>
    <n v="70"/>
    <n v="43"/>
    <n v="9906"/>
    <n v="10"/>
    <d v="2023-08-09T00:00:00"/>
    <n v="-56"/>
    <n v="56"/>
    <n v="0"/>
    <n v="56"/>
    <n v="425958"/>
  </r>
  <r>
    <s v="Site_221"/>
    <x v="0"/>
    <x v="1"/>
    <n v="92"/>
    <n v="59"/>
    <n v="13"/>
    <n v="1775"/>
    <n v="9"/>
    <d v="2023-08-10T00:00:00"/>
    <n v="33"/>
    <n v="-33"/>
    <n v="33"/>
    <n v="0"/>
    <n v="23075"/>
  </r>
  <r>
    <s v="Site_222"/>
    <x v="3"/>
    <x v="2"/>
    <n v="87"/>
    <n v="103"/>
    <n v="77"/>
    <n v="7869"/>
    <n v="6"/>
    <d v="2023-08-11T00:00:00"/>
    <n v="-16"/>
    <n v="16"/>
    <n v="0"/>
    <n v="16"/>
    <n v="605913"/>
  </r>
  <r>
    <s v="Site_223"/>
    <x v="1"/>
    <x v="1"/>
    <n v="35"/>
    <n v="46"/>
    <n v="1"/>
    <n v="3247"/>
    <n v="5"/>
    <d v="2023-08-12T00:00:00"/>
    <n v="-11"/>
    <n v="11"/>
    <n v="0"/>
    <n v="11"/>
    <n v="3247"/>
  </r>
  <r>
    <s v="Site_224"/>
    <x v="3"/>
    <x v="1"/>
    <n v="71"/>
    <n v="38"/>
    <n v="36"/>
    <n v="8088"/>
    <n v="3"/>
    <d v="2023-08-13T00:00:00"/>
    <n v="33"/>
    <n v="-33"/>
    <n v="33"/>
    <n v="0"/>
    <n v="291168"/>
  </r>
  <r>
    <s v="Site_225"/>
    <x v="3"/>
    <x v="2"/>
    <n v="13"/>
    <n v="34"/>
    <n v="68"/>
    <n v="1078"/>
    <n v="9"/>
    <d v="2023-08-14T00:00:00"/>
    <n v="-21"/>
    <n v="21"/>
    <n v="0"/>
    <n v="21"/>
    <n v="73304"/>
  </r>
  <r>
    <s v="Site_226"/>
    <x v="2"/>
    <x v="1"/>
    <n v="98"/>
    <n v="17"/>
    <n v="37"/>
    <n v="9080"/>
    <n v="5"/>
    <d v="2023-08-15T00:00:00"/>
    <n v="81"/>
    <n v="-81"/>
    <n v="81"/>
    <n v="0"/>
    <n v="335960"/>
  </r>
  <r>
    <s v="Site_227"/>
    <x v="3"/>
    <x v="2"/>
    <n v="51"/>
    <n v="17"/>
    <n v="40"/>
    <n v="8099"/>
    <n v="5"/>
    <d v="2023-08-16T00:00:00"/>
    <n v="34"/>
    <n v="-34"/>
    <n v="34"/>
    <n v="0"/>
    <n v="323960"/>
  </r>
  <r>
    <s v="Site_228"/>
    <x v="2"/>
    <x v="1"/>
    <n v="98"/>
    <n v="22"/>
    <n v="61"/>
    <n v="4926"/>
    <n v="14"/>
    <d v="2023-08-17T00:00:00"/>
    <n v="76"/>
    <n v="-76"/>
    <n v="76"/>
    <n v="0"/>
    <n v="300486"/>
  </r>
  <r>
    <s v="Site_229"/>
    <x v="2"/>
    <x v="0"/>
    <n v="27"/>
    <n v="36"/>
    <n v="59"/>
    <n v="8340"/>
    <n v="4"/>
    <d v="2023-08-18T00:00:00"/>
    <n v="-9"/>
    <n v="9"/>
    <n v="0"/>
    <n v="9"/>
    <n v="492060"/>
  </r>
  <r>
    <s v="Site_230"/>
    <x v="3"/>
    <x v="0"/>
    <n v="49"/>
    <n v="100"/>
    <n v="13"/>
    <n v="8083"/>
    <n v="14"/>
    <d v="2023-08-19T00:00:00"/>
    <n v="-51"/>
    <n v="51"/>
    <n v="0"/>
    <n v="51"/>
    <n v="105079"/>
  </r>
  <r>
    <s v="Site_231"/>
    <x v="1"/>
    <x v="1"/>
    <n v="81"/>
    <n v="103"/>
    <n v="1"/>
    <n v="7230"/>
    <n v="4"/>
    <d v="2023-08-20T00:00:00"/>
    <n v="-22"/>
    <n v="22"/>
    <n v="0"/>
    <n v="22"/>
    <n v="7230"/>
  </r>
  <r>
    <s v="Site_232"/>
    <x v="1"/>
    <x v="1"/>
    <n v="48"/>
    <n v="43"/>
    <n v="69"/>
    <n v="5940"/>
    <n v="12"/>
    <d v="2023-08-21T00:00:00"/>
    <n v="5"/>
    <n v="-5"/>
    <n v="5"/>
    <n v="0"/>
    <n v="409860"/>
  </r>
  <r>
    <s v="Site_233"/>
    <x v="1"/>
    <x v="1"/>
    <n v="23"/>
    <n v="50"/>
    <n v="16"/>
    <n v="4271"/>
    <n v="1"/>
    <d v="2023-08-22T00:00:00"/>
    <n v="-27"/>
    <n v="27"/>
    <n v="0"/>
    <n v="27"/>
    <n v="68336"/>
  </r>
  <r>
    <s v="Site_234"/>
    <x v="1"/>
    <x v="0"/>
    <n v="41"/>
    <n v="33"/>
    <n v="27"/>
    <n v="4456"/>
    <n v="7"/>
    <d v="2023-08-23T00:00:00"/>
    <n v="8"/>
    <n v="-8"/>
    <n v="8"/>
    <n v="0"/>
    <n v="120312"/>
  </r>
  <r>
    <s v="Site_235"/>
    <x v="1"/>
    <x v="1"/>
    <n v="60"/>
    <n v="66"/>
    <n v="65"/>
    <n v="8788"/>
    <n v="9"/>
    <d v="2023-08-24T00:00:00"/>
    <n v="-6"/>
    <n v="6"/>
    <n v="0"/>
    <n v="6"/>
    <n v="571220"/>
  </r>
  <r>
    <s v="Site_236"/>
    <x v="3"/>
    <x v="0"/>
    <n v="47"/>
    <n v="117"/>
    <n v="34"/>
    <n v="9599"/>
    <n v="3"/>
    <d v="2023-08-25T00:00:00"/>
    <n v="-70"/>
    <n v="70"/>
    <n v="0"/>
    <n v="70"/>
    <n v="326366"/>
  </r>
  <r>
    <s v="Site_237"/>
    <x v="3"/>
    <x v="2"/>
    <n v="32"/>
    <n v="97"/>
    <n v="4"/>
    <n v="8650"/>
    <n v="12"/>
    <d v="2023-08-26T00:00:00"/>
    <n v="-65"/>
    <n v="65"/>
    <n v="0"/>
    <n v="65"/>
    <n v="34600"/>
  </r>
  <r>
    <s v="Site_238"/>
    <x v="0"/>
    <x v="0"/>
    <n v="72"/>
    <n v="66"/>
    <n v="64"/>
    <n v="3711"/>
    <n v="13"/>
    <d v="2023-08-27T00:00:00"/>
    <n v="6"/>
    <n v="-6"/>
    <n v="6"/>
    <n v="0"/>
    <n v="237504"/>
  </r>
  <r>
    <s v="Site_239"/>
    <x v="1"/>
    <x v="0"/>
    <n v="24"/>
    <n v="112"/>
    <n v="39"/>
    <n v="2668"/>
    <n v="2"/>
    <d v="2023-08-28T00:00:00"/>
    <n v="-88"/>
    <n v="88"/>
    <n v="0"/>
    <n v="88"/>
    <n v="104052"/>
  </r>
  <r>
    <s v="Site_240"/>
    <x v="3"/>
    <x v="2"/>
    <n v="34"/>
    <n v="61"/>
    <n v="75"/>
    <n v="1147"/>
    <n v="3"/>
    <d v="2023-08-29T00:00:00"/>
    <n v="-27"/>
    <n v="27"/>
    <n v="0"/>
    <n v="27"/>
    <n v="86025"/>
  </r>
  <r>
    <s v="Site_241"/>
    <x v="0"/>
    <x v="0"/>
    <n v="26"/>
    <n v="20"/>
    <n v="55"/>
    <n v="7420"/>
    <n v="1"/>
    <d v="2023-08-30T00:00:00"/>
    <n v="6"/>
    <n v="-6"/>
    <n v="6"/>
    <n v="0"/>
    <n v="408100"/>
  </r>
  <r>
    <s v="Site_242"/>
    <x v="1"/>
    <x v="1"/>
    <n v="75"/>
    <n v="60"/>
    <n v="35"/>
    <n v="1365"/>
    <n v="6"/>
    <d v="2023-08-31T00:00:00"/>
    <n v="15"/>
    <n v="-15"/>
    <n v="15"/>
    <n v="0"/>
    <n v="47775"/>
  </r>
  <r>
    <s v="Site_243"/>
    <x v="2"/>
    <x v="1"/>
    <n v="87"/>
    <n v="112"/>
    <n v="44"/>
    <n v="5531"/>
    <n v="11"/>
    <d v="2023-09-01T00:00:00"/>
    <n v="-25"/>
    <n v="25"/>
    <n v="0"/>
    <n v="25"/>
    <n v="243364"/>
  </r>
  <r>
    <s v="Site_244"/>
    <x v="0"/>
    <x v="0"/>
    <n v="62"/>
    <n v="115"/>
    <n v="22"/>
    <n v="6330"/>
    <n v="11"/>
    <d v="2023-09-02T00:00:00"/>
    <n v="-53"/>
    <n v="53"/>
    <n v="0"/>
    <n v="53"/>
    <n v="139260"/>
  </r>
  <r>
    <s v="Site_245"/>
    <x v="3"/>
    <x v="1"/>
    <n v="60"/>
    <n v="14"/>
    <n v="46"/>
    <n v="6510"/>
    <n v="7"/>
    <d v="2023-09-03T00:00:00"/>
    <n v="46"/>
    <n v="-46"/>
    <n v="46"/>
    <n v="0"/>
    <n v="299460"/>
  </r>
  <r>
    <s v="Site_246"/>
    <x v="2"/>
    <x v="0"/>
    <n v="48"/>
    <n v="34"/>
    <n v="30"/>
    <n v="9754"/>
    <n v="11"/>
    <d v="2023-09-04T00:00:00"/>
    <n v="14"/>
    <n v="-14"/>
    <n v="14"/>
    <n v="0"/>
    <n v="292620"/>
  </r>
  <r>
    <s v="Site_247"/>
    <x v="2"/>
    <x v="1"/>
    <n v="60"/>
    <n v="29"/>
    <n v="10"/>
    <n v="9964"/>
    <n v="11"/>
    <d v="2023-09-05T00:00:00"/>
    <n v="31"/>
    <n v="-31"/>
    <n v="31"/>
    <n v="0"/>
    <n v="99640"/>
  </r>
  <r>
    <s v="Site_248"/>
    <x v="2"/>
    <x v="1"/>
    <n v="79"/>
    <n v="107"/>
    <n v="9"/>
    <n v="7493"/>
    <n v="2"/>
    <d v="2023-09-06T00:00:00"/>
    <n v="-28"/>
    <n v="28"/>
    <n v="0"/>
    <n v="28"/>
    <n v="67437"/>
  </r>
  <r>
    <s v="Site_249"/>
    <x v="0"/>
    <x v="0"/>
    <n v="15"/>
    <n v="88"/>
    <n v="66"/>
    <n v="6439"/>
    <n v="8"/>
    <d v="2023-09-07T00:00:00"/>
    <n v="-73"/>
    <n v="73"/>
    <n v="0"/>
    <n v="73"/>
    <n v="424974"/>
  </r>
  <r>
    <s v="Site_250"/>
    <x v="3"/>
    <x v="1"/>
    <n v="76"/>
    <n v="9"/>
    <n v="13"/>
    <n v="7511"/>
    <n v="14"/>
    <d v="2023-09-08T00:00:00"/>
    <n v="67"/>
    <n v="-67"/>
    <n v="67"/>
    <n v="0"/>
    <n v="97643"/>
  </r>
  <r>
    <s v="Site_251"/>
    <x v="2"/>
    <x v="0"/>
    <n v="16"/>
    <n v="69"/>
    <n v="79"/>
    <n v="8504"/>
    <n v="6"/>
    <d v="2023-09-09T00:00:00"/>
    <n v="-53"/>
    <n v="53"/>
    <n v="0"/>
    <n v="53"/>
    <n v="671816"/>
  </r>
  <r>
    <s v="Site_252"/>
    <x v="1"/>
    <x v="1"/>
    <n v="60"/>
    <n v="98"/>
    <n v="73"/>
    <n v="2246"/>
    <n v="14"/>
    <d v="2023-09-10T00:00:00"/>
    <n v="-38"/>
    <n v="38"/>
    <n v="0"/>
    <n v="38"/>
    <n v="163958"/>
  </r>
  <r>
    <s v="Site_253"/>
    <x v="2"/>
    <x v="1"/>
    <n v="81"/>
    <n v="53"/>
    <n v="9"/>
    <n v="4839"/>
    <n v="4"/>
    <d v="2023-09-11T00:00:00"/>
    <n v="28"/>
    <n v="-28"/>
    <n v="28"/>
    <n v="0"/>
    <n v="43551"/>
  </r>
  <r>
    <s v="Site_254"/>
    <x v="2"/>
    <x v="2"/>
    <n v="51"/>
    <n v="7"/>
    <n v="75"/>
    <n v="9551"/>
    <n v="5"/>
    <d v="2023-09-12T00:00:00"/>
    <n v="44"/>
    <n v="-44"/>
    <n v="44"/>
    <n v="0"/>
    <n v="716325"/>
  </r>
  <r>
    <s v="Site_255"/>
    <x v="0"/>
    <x v="2"/>
    <n v="73"/>
    <n v="49"/>
    <n v="0"/>
    <n v="3376"/>
    <n v="8"/>
    <d v="2023-09-13T00:00:00"/>
    <n v="24"/>
    <n v="-24"/>
    <n v="24"/>
    <n v="0"/>
    <n v="0"/>
  </r>
  <r>
    <s v="Site_256"/>
    <x v="0"/>
    <x v="0"/>
    <n v="24"/>
    <n v="18"/>
    <n v="4"/>
    <n v="4009"/>
    <n v="14"/>
    <d v="2023-09-14T00:00:00"/>
    <n v="6"/>
    <n v="-6"/>
    <n v="6"/>
    <n v="0"/>
    <n v="16036"/>
  </r>
  <r>
    <s v="Site_257"/>
    <x v="3"/>
    <x v="2"/>
    <n v="38"/>
    <n v="34"/>
    <n v="19"/>
    <n v="2827"/>
    <n v="3"/>
    <d v="2023-09-15T00:00:00"/>
    <n v="4"/>
    <n v="-4"/>
    <n v="4"/>
    <n v="0"/>
    <n v="53713"/>
  </r>
  <r>
    <s v="Site_258"/>
    <x v="1"/>
    <x v="0"/>
    <n v="42"/>
    <n v="118"/>
    <n v="7"/>
    <n v="7979"/>
    <n v="3"/>
    <d v="2023-09-16T00:00:00"/>
    <n v="-76"/>
    <n v="76"/>
    <n v="0"/>
    <n v="76"/>
    <n v="55853"/>
  </r>
  <r>
    <s v="Site_259"/>
    <x v="0"/>
    <x v="2"/>
    <n v="36"/>
    <n v="72"/>
    <n v="42"/>
    <n v="9569"/>
    <n v="14"/>
    <d v="2023-09-17T00:00:00"/>
    <n v="-36"/>
    <n v="36"/>
    <n v="0"/>
    <n v="36"/>
    <n v="401898"/>
  </r>
  <r>
    <s v="Site_260"/>
    <x v="2"/>
    <x v="1"/>
    <n v="45"/>
    <n v="22"/>
    <n v="75"/>
    <n v="5285"/>
    <n v="14"/>
    <d v="2023-09-18T00:00:00"/>
    <n v="23"/>
    <n v="-23"/>
    <n v="23"/>
    <n v="0"/>
    <n v="396375"/>
  </r>
  <r>
    <s v="Site_261"/>
    <x v="3"/>
    <x v="0"/>
    <n v="38"/>
    <n v="66"/>
    <n v="0"/>
    <n v="7910"/>
    <n v="11"/>
    <d v="2023-09-19T00:00:00"/>
    <n v="-28"/>
    <n v="28"/>
    <n v="0"/>
    <n v="28"/>
    <n v="0"/>
  </r>
  <r>
    <s v="Site_262"/>
    <x v="2"/>
    <x v="0"/>
    <n v="47"/>
    <n v="41"/>
    <n v="56"/>
    <n v="9561"/>
    <n v="4"/>
    <d v="2023-09-20T00:00:00"/>
    <n v="6"/>
    <n v="-6"/>
    <n v="6"/>
    <n v="0"/>
    <n v="535416"/>
  </r>
  <r>
    <s v="Site_263"/>
    <x v="2"/>
    <x v="1"/>
    <n v="66"/>
    <n v="29"/>
    <n v="63"/>
    <n v="3196"/>
    <n v="1"/>
    <d v="2023-09-21T00:00:00"/>
    <n v="37"/>
    <n v="-37"/>
    <n v="37"/>
    <n v="0"/>
    <n v="201348"/>
  </r>
  <r>
    <s v="Site_264"/>
    <x v="0"/>
    <x v="0"/>
    <n v="36"/>
    <n v="52"/>
    <n v="27"/>
    <n v="4747"/>
    <n v="9"/>
    <d v="2023-09-22T00:00:00"/>
    <n v="-16"/>
    <n v="16"/>
    <n v="0"/>
    <n v="16"/>
    <n v="128169"/>
  </r>
  <r>
    <s v="Site_265"/>
    <x v="3"/>
    <x v="0"/>
    <n v="64"/>
    <n v="69"/>
    <n v="36"/>
    <n v="9843"/>
    <n v="8"/>
    <d v="2023-09-23T00:00:00"/>
    <n v="-5"/>
    <n v="5"/>
    <n v="0"/>
    <n v="5"/>
    <n v="354348"/>
  </r>
  <r>
    <s v="Site_266"/>
    <x v="1"/>
    <x v="2"/>
    <n v="42"/>
    <n v="57"/>
    <n v="46"/>
    <n v="6978"/>
    <n v="8"/>
    <d v="2023-09-24T00:00:00"/>
    <n v="-15"/>
    <n v="15"/>
    <n v="0"/>
    <n v="15"/>
    <n v="320988"/>
  </r>
  <r>
    <s v="Site_267"/>
    <x v="1"/>
    <x v="0"/>
    <n v="77"/>
    <n v="114"/>
    <n v="75"/>
    <n v="6607"/>
    <n v="14"/>
    <d v="2023-09-25T00:00:00"/>
    <n v="-37"/>
    <n v="37"/>
    <n v="0"/>
    <n v="37"/>
    <n v="495525"/>
  </r>
  <r>
    <s v="Site_268"/>
    <x v="0"/>
    <x v="1"/>
    <n v="95"/>
    <n v="83"/>
    <n v="36"/>
    <n v="1769"/>
    <n v="10"/>
    <d v="2023-09-26T00:00:00"/>
    <n v="12"/>
    <n v="-12"/>
    <n v="12"/>
    <n v="0"/>
    <n v="63684"/>
  </r>
  <r>
    <s v="Site_269"/>
    <x v="0"/>
    <x v="2"/>
    <n v="75"/>
    <n v="77"/>
    <n v="48"/>
    <n v="1780"/>
    <n v="6"/>
    <d v="2023-09-27T00:00:00"/>
    <n v="-2"/>
    <n v="2"/>
    <n v="0"/>
    <n v="2"/>
    <n v="85440"/>
  </r>
  <r>
    <s v="Site_270"/>
    <x v="3"/>
    <x v="2"/>
    <n v="19"/>
    <n v="19"/>
    <n v="43"/>
    <n v="7303"/>
    <n v="7"/>
    <d v="2023-09-28T00:00:00"/>
    <n v="0"/>
    <n v="0"/>
    <n v="0"/>
    <n v="0"/>
    <n v="314029"/>
  </r>
  <r>
    <s v="Site_271"/>
    <x v="1"/>
    <x v="1"/>
    <n v="14"/>
    <n v="53"/>
    <n v="55"/>
    <n v="4983"/>
    <n v="6"/>
    <d v="2023-09-29T00:00:00"/>
    <n v="-39"/>
    <n v="39"/>
    <n v="0"/>
    <n v="39"/>
    <n v="274065"/>
  </r>
  <r>
    <s v="Site_272"/>
    <x v="1"/>
    <x v="1"/>
    <n v="83"/>
    <n v="92"/>
    <n v="27"/>
    <n v="9714"/>
    <n v="9"/>
    <d v="2023-09-30T00:00:00"/>
    <n v="-9"/>
    <n v="9"/>
    <n v="0"/>
    <n v="9"/>
    <n v="262278"/>
  </r>
  <r>
    <s v="Site_273"/>
    <x v="1"/>
    <x v="2"/>
    <n v="47"/>
    <n v="72"/>
    <n v="78"/>
    <n v="1521"/>
    <n v="3"/>
    <d v="2023-10-01T00:00:00"/>
    <n v="-25"/>
    <n v="25"/>
    <n v="0"/>
    <n v="25"/>
    <n v="118638"/>
  </r>
  <r>
    <s v="Site_274"/>
    <x v="2"/>
    <x v="0"/>
    <n v="22"/>
    <n v="16"/>
    <n v="5"/>
    <n v="8569"/>
    <n v="14"/>
    <d v="2023-10-02T00:00:00"/>
    <n v="6"/>
    <n v="-6"/>
    <n v="6"/>
    <n v="0"/>
    <n v="42845"/>
  </r>
  <r>
    <s v="Site_275"/>
    <x v="1"/>
    <x v="2"/>
    <n v="40"/>
    <n v="63"/>
    <n v="60"/>
    <n v="6784"/>
    <n v="3"/>
    <d v="2023-10-03T00:00:00"/>
    <n v="-23"/>
    <n v="23"/>
    <n v="0"/>
    <n v="23"/>
    <n v="407040"/>
  </r>
  <r>
    <s v="Site_276"/>
    <x v="2"/>
    <x v="1"/>
    <n v="56"/>
    <n v="41"/>
    <n v="19"/>
    <n v="5583"/>
    <n v="3"/>
    <d v="2023-10-04T00:00:00"/>
    <n v="15"/>
    <n v="-15"/>
    <n v="15"/>
    <n v="0"/>
    <n v="106077"/>
  </r>
  <r>
    <s v="Site_277"/>
    <x v="3"/>
    <x v="2"/>
    <n v="97"/>
    <n v="65"/>
    <n v="77"/>
    <n v="6946"/>
    <n v="10"/>
    <d v="2023-10-05T00:00:00"/>
    <n v="32"/>
    <n v="-32"/>
    <n v="32"/>
    <n v="0"/>
    <n v="534842"/>
  </r>
  <r>
    <s v="Site_278"/>
    <x v="2"/>
    <x v="1"/>
    <n v="61"/>
    <n v="105"/>
    <n v="1"/>
    <n v="5941"/>
    <n v="3"/>
    <d v="2023-10-06T00:00:00"/>
    <n v="-44"/>
    <n v="44"/>
    <n v="0"/>
    <n v="44"/>
    <n v="5941"/>
  </r>
  <r>
    <s v="Site_279"/>
    <x v="3"/>
    <x v="2"/>
    <n v="65"/>
    <n v="47"/>
    <n v="72"/>
    <n v="7267"/>
    <n v="9"/>
    <d v="2023-10-07T00:00:00"/>
    <n v="18"/>
    <n v="-18"/>
    <n v="18"/>
    <n v="0"/>
    <n v="523224"/>
  </r>
  <r>
    <s v="Site_280"/>
    <x v="1"/>
    <x v="0"/>
    <n v="24"/>
    <n v="74"/>
    <n v="36"/>
    <n v="8128"/>
    <n v="12"/>
    <d v="2023-10-08T00:00:00"/>
    <n v="-50"/>
    <n v="50"/>
    <n v="0"/>
    <n v="50"/>
    <n v="292608"/>
  </r>
  <r>
    <s v="Site_281"/>
    <x v="1"/>
    <x v="2"/>
    <n v="38"/>
    <n v="43"/>
    <n v="19"/>
    <n v="3461"/>
    <n v="4"/>
    <d v="2023-10-09T00:00:00"/>
    <n v="-5"/>
    <n v="5"/>
    <n v="0"/>
    <n v="5"/>
    <n v="65759"/>
  </r>
  <r>
    <s v="Site_282"/>
    <x v="3"/>
    <x v="2"/>
    <n v="17"/>
    <n v="60"/>
    <n v="25"/>
    <n v="1685"/>
    <n v="13"/>
    <d v="2023-10-10T00:00:00"/>
    <n v="-43"/>
    <n v="43"/>
    <n v="0"/>
    <n v="43"/>
    <n v="42125"/>
  </r>
  <r>
    <s v="Site_283"/>
    <x v="0"/>
    <x v="1"/>
    <n v="14"/>
    <n v="67"/>
    <n v="28"/>
    <n v="3160"/>
    <n v="7"/>
    <d v="2023-10-11T00:00:00"/>
    <n v="-53"/>
    <n v="53"/>
    <n v="0"/>
    <n v="53"/>
    <n v="88480"/>
  </r>
  <r>
    <s v="Site_284"/>
    <x v="3"/>
    <x v="1"/>
    <n v="38"/>
    <n v="50"/>
    <n v="0"/>
    <n v="8031"/>
    <n v="14"/>
    <d v="2023-10-12T00:00:00"/>
    <n v="-12"/>
    <n v="12"/>
    <n v="0"/>
    <n v="12"/>
    <n v="0"/>
  </r>
  <r>
    <s v="Site_285"/>
    <x v="0"/>
    <x v="1"/>
    <n v="56"/>
    <n v="92"/>
    <n v="34"/>
    <n v="6341"/>
    <n v="9"/>
    <d v="2023-10-13T00:00:00"/>
    <n v="-36"/>
    <n v="36"/>
    <n v="0"/>
    <n v="36"/>
    <n v="215594"/>
  </r>
  <r>
    <s v="Site_286"/>
    <x v="2"/>
    <x v="2"/>
    <n v="77"/>
    <n v="15"/>
    <n v="69"/>
    <n v="1038"/>
    <n v="11"/>
    <d v="2023-10-14T00:00:00"/>
    <n v="62"/>
    <n v="-62"/>
    <n v="62"/>
    <n v="0"/>
    <n v="71622"/>
  </r>
  <r>
    <s v="Site_287"/>
    <x v="2"/>
    <x v="0"/>
    <n v="85"/>
    <n v="66"/>
    <n v="58"/>
    <n v="5875"/>
    <n v="12"/>
    <d v="2023-10-15T00:00:00"/>
    <n v="19"/>
    <n v="-19"/>
    <n v="19"/>
    <n v="0"/>
    <n v="340750"/>
  </r>
  <r>
    <s v="Site_288"/>
    <x v="2"/>
    <x v="1"/>
    <n v="54"/>
    <n v="81"/>
    <n v="68"/>
    <n v="2256"/>
    <n v="7"/>
    <d v="2023-10-16T00:00:00"/>
    <n v="-27"/>
    <n v="27"/>
    <n v="0"/>
    <n v="27"/>
    <n v="153408"/>
  </r>
  <r>
    <s v="Site_289"/>
    <x v="1"/>
    <x v="1"/>
    <n v="11"/>
    <n v="102"/>
    <n v="32"/>
    <n v="8697"/>
    <n v="9"/>
    <d v="2023-10-17T00:00:00"/>
    <n v="-91"/>
    <n v="91"/>
    <n v="0"/>
    <n v="91"/>
    <n v="278304"/>
  </r>
  <r>
    <s v="Site_290"/>
    <x v="2"/>
    <x v="2"/>
    <n v="36"/>
    <n v="29"/>
    <n v="50"/>
    <n v="3196"/>
    <n v="12"/>
    <d v="2023-10-18T00:00:00"/>
    <n v="7"/>
    <n v="-7"/>
    <n v="7"/>
    <n v="0"/>
    <n v="159800"/>
  </r>
  <r>
    <s v="Site_291"/>
    <x v="0"/>
    <x v="1"/>
    <n v="45"/>
    <n v="75"/>
    <n v="77"/>
    <n v="8165"/>
    <n v="3"/>
    <d v="2023-10-19T00:00:00"/>
    <n v="-30"/>
    <n v="30"/>
    <n v="0"/>
    <n v="30"/>
    <n v="628705"/>
  </r>
  <r>
    <s v="Site_292"/>
    <x v="2"/>
    <x v="0"/>
    <n v="45"/>
    <n v="56"/>
    <n v="11"/>
    <n v="1301"/>
    <n v="4"/>
    <d v="2023-10-20T00:00:00"/>
    <n v="-11"/>
    <n v="11"/>
    <n v="0"/>
    <n v="11"/>
    <n v="14311"/>
  </r>
  <r>
    <s v="Site_293"/>
    <x v="3"/>
    <x v="0"/>
    <n v="35"/>
    <n v="8"/>
    <n v="19"/>
    <n v="8527"/>
    <n v="14"/>
    <d v="2023-10-21T00:00:00"/>
    <n v="27"/>
    <n v="-27"/>
    <n v="27"/>
    <n v="0"/>
    <n v="162013"/>
  </r>
  <r>
    <s v="Site_294"/>
    <x v="3"/>
    <x v="1"/>
    <n v="52"/>
    <n v="63"/>
    <n v="52"/>
    <n v="7381"/>
    <n v="8"/>
    <d v="2023-10-22T00:00:00"/>
    <n v="-11"/>
    <n v="11"/>
    <n v="0"/>
    <n v="11"/>
    <n v="383812"/>
  </r>
  <r>
    <s v="Site_295"/>
    <x v="1"/>
    <x v="1"/>
    <n v="36"/>
    <n v="76"/>
    <n v="42"/>
    <n v="1646"/>
    <n v="6"/>
    <d v="2023-10-23T00:00:00"/>
    <n v="-40"/>
    <n v="40"/>
    <n v="0"/>
    <n v="40"/>
    <n v="69132"/>
  </r>
  <r>
    <s v="Site_296"/>
    <x v="3"/>
    <x v="2"/>
    <n v="78"/>
    <n v="24"/>
    <n v="49"/>
    <n v="9789"/>
    <n v="5"/>
    <d v="2023-10-24T00:00:00"/>
    <n v="54"/>
    <n v="-54"/>
    <n v="54"/>
    <n v="0"/>
    <n v="479661"/>
  </r>
  <r>
    <s v="Site_297"/>
    <x v="0"/>
    <x v="0"/>
    <n v="29"/>
    <n v="97"/>
    <n v="28"/>
    <n v="9853"/>
    <n v="13"/>
    <d v="2023-10-25T00:00:00"/>
    <n v="-68"/>
    <n v="68"/>
    <n v="0"/>
    <n v="68"/>
    <n v="275884"/>
  </r>
  <r>
    <s v="Site_298"/>
    <x v="2"/>
    <x v="0"/>
    <n v="20"/>
    <n v="67"/>
    <n v="56"/>
    <n v="5330"/>
    <n v="4"/>
    <d v="2023-10-26T00:00:00"/>
    <n v="-47"/>
    <n v="47"/>
    <n v="0"/>
    <n v="47"/>
    <n v="298480"/>
  </r>
  <r>
    <s v="Site_299"/>
    <x v="1"/>
    <x v="1"/>
    <n v="83"/>
    <n v="58"/>
    <n v="38"/>
    <n v="8003"/>
    <n v="8"/>
    <d v="2023-10-27T00:00:00"/>
    <n v="25"/>
    <n v="-25"/>
    <n v="25"/>
    <n v="0"/>
    <n v="304114"/>
  </r>
  <r>
    <s v="Site_300"/>
    <x v="2"/>
    <x v="2"/>
    <n v="47"/>
    <n v="119"/>
    <n v="55"/>
    <n v="4537"/>
    <n v="1"/>
    <d v="2023-10-28T00:00:00"/>
    <n v="-72"/>
    <n v="72"/>
    <n v="0"/>
    <n v="72"/>
    <n v="249535"/>
  </r>
  <r>
    <s v="Site_301"/>
    <x v="2"/>
    <x v="0"/>
    <n v="15"/>
    <n v="113"/>
    <n v="42"/>
    <n v="5558"/>
    <n v="14"/>
    <d v="2023-10-29T00:00:00"/>
    <n v="-98"/>
    <n v="98"/>
    <n v="0"/>
    <n v="98"/>
    <n v="233436"/>
  </r>
  <r>
    <s v="Site_302"/>
    <x v="0"/>
    <x v="0"/>
    <n v="81"/>
    <n v="114"/>
    <n v="49"/>
    <n v="7579"/>
    <n v="9"/>
    <d v="2023-10-30T00:00:00"/>
    <n v="-33"/>
    <n v="33"/>
    <n v="0"/>
    <n v="33"/>
    <n v="371371"/>
  </r>
  <r>
    <s v="Site_303"/>
    <x v="3"/>
    <x v="2"/>
    <n v="32"/>
    <n v="78"/>
    <n v="22"/>
    <n v="9474"/>
    <n v="1"/>
    <d v="2023-10-31T00:00:00"/>
    <n v="-46"/>
    <n v="46"/>
    <n v="0"/>
    <n v="46"/>
    <n v="208428"/>
  </r>
  <r>
    <s v="Site_304"/>
    <x v="3"/>
    <x v="2"/>
    <n v="56"/>
    <n v="111"/>
    <n v="43"/>
    <n v="5082"/>
    <n v="8"/>
    <d v="2023-11-01T00:00:00"/>
    <n v="-55"/>
    <n v="55"/>
    <n v="0"/>
    <n v="55"/>
    <n v="218526"/>
  </r>
  <r>
    <s v="Site_305"/>
    <x v="2"/>
    <x v="0"/>
    <n v="99"/>
    <n v="102"/>
    <n v="37"/>
    <n v="5183"/>
    <n v="4"/>
    <d v="2023-11-02T00:00:00"/>
    <n v="-3"/>
    <n v="3"/>
    <n v="0"/>
    <n v="3"/>
    <n v="191771"/>
  </r>
  <r>
    <s v="Site_306"/>
    <x v="1"/>
    <x v="0"/>
    <n v="55"/>
    <n v="61"/>
    <n v="22"/>
    <n v="9652"/>
    <n v="9"/>
    <d v="2023-11-03T00:00:00"/>
    <n v="-6"/>
    <n v="6"/>
    <n v="0"/>
    <n v="6"/>
    <n v="212344"/>
  </r>
  <r>
    <s v="Site_307"/>
    <x v="3"/>
    <x v="2"/>
    <n v="21"/>
    <n v="94"/>
    <n v="44"/>
    <n v="4754"/>
    <n v="14"/>
    <d v="2023-11-04T00:00:00"/>
    <n v="-73"/>
    <n v="73"/>
    <n v="0"/>
    <n v="73"/>
    <n v="209176"/>
  </r>
  <r>
    <s v="Site_308"/>
    <x v="1"/>
    <x v="0"/>
    <n v="99"/>
    <n v="45"/>
    <n v="51"/>
    <n v="2724"/>
    <n v="11"/>
    <d v="2023-11-05T00:00:00"/>
    <n v="54"/>
    <n v="-54"/>
    <n v="54"/>
    <n v="0"/>
    <n v="138924"/>
  </r>
  <r>
    <s v="Site_309"/>
    <x v="3"/>
    <x v="1"/>
    <n v="22"/>
    <n v="117"/>
    <n v="79"/>
    <n v="2376"/>
    <n v="5"/>
    <d v="2023-11-06T00:00:00"/>
    <n v="-95"/>
    <n v="95"/>
    <n v="0"/>
    <n v="95"/>
    <n v="187704"/>
  </r>
  <r>
    <s v="Site_310"/>
    <x v="1"/>
    <x v="1"/>
    <n v="71"/>
    <n v="7"/>
    <n v="49"/>
    <n v="9706"/>
    <n v="3"/>
    <d v="2023-11-07T00:00:00"/>
    <n v="64"/>
    <n v="-64"/>
    <n v="64"/>
    <n v="0"/>
    <n v="475594"/>
  </r>
  <r>
    <s v="Site_311"/>
    <x v="0"/>
    <x v="2"/>
    <n v="91"/>
    <n v="10"/>
    <n v="7"/>
    <n v="9894"/>
    <n v="9"/>
    <d v="2023-11-08T00:00:00"/>
    <n v="81"/>
    <n v="-81"/>
    <n v="81"/>
    <n v="0"/>
    <n v="69258"/>
  </r>
  <r>
    <s v="Site_312"/>
    <x v="1"/>
    <x v="2"/>
    <n v="98"/>
    <n v="9"/>
    <n v="0"/>
    <n v="2653"/>
    <n v="11"/>
    <d v="2023-11-09T00:00:00"/>
    <n v="89"/>
    <n v="-89"/>
    <n v="89"/>
    <n v="0"/>
    <n v="0"/>
  </r>
  <r>
    <s v="Site_313"/>
    <x v="0"/>
    <x v="2"/>
    <n v="69"/>
    <n v="9"/>
    <n v="7"/>
    <n v="3066"/>
    <n v="14"/>
    <d v="2023-11-10T00:00:00"/>
    <n v="60"/>
    <n v="-60"/>
    <n v="60"/>
    <n v="0"/>
    <n v="21462"/>
  </r>
  <r>
    <s v="Site_314"/>
    <x v="0"/>
    <x v="1"/>
    <n v="52"/>
    <n v="58"/>
    <n v="28"/>
    <n v="1022"/>
    <n v="14"/>
    <d v="2023-11-11T00:00:00"/>
    <n v="-6"/>
    <n v="6"/>
    <n v="0"/>
    <n v="6"/>
    <n v="28616"/>
  </r>
  <r>
    <s v="Site_315"/>
    <x v="1"/>
    <x v="0"/>
    <n v="85"/>
    <n v="51"/>
    <n v="4"/>
    <n v="3460"/>
    <n v="9"/>
    <d v="2023-11-12T00:00:00"/>
    <n v="34"/>
    <n v="-34"/>
    <n v="34"/>
    <n v="0"/>
    <n v="13840"/>
  </r>
  <r>
    <s v="Site_316"/>
    <x v="0"/>
    <x v="1"/>
    <n v="77"/>
    <n v="91"/>
    <n v="46"/>
    <n v="6926"/>
    <n v="4"/>
    <d v="2023-11-13T00:00:00"/>
    <n v="-14"/>
    <n v="14"/>
    <n v="0"/>
    <n v="14"/>
    <n v="318596"/>
  </r>
  <r>
    <s v="Site_317"/>
    <x v="2"/>
    <x v="0"/>
    <n v="14"/>
    <n v="53"/>
    <n v="33"/>
    <n v="7251"/>
    <n v="11"/>
    <d v="2023-11-14T00:00:00"/>
    <n v="-39"/>
    <n v="39"/>
    <n v="0"/>
    <n v="39"/>
    <n v="239283"/>
  </r>
  <r>
    <s v="Site_318"/>
    <x v="0"/>
    <x v="1"/>
    <n v="46"/>
    <n v="13"/>
    <n v="64"/>
    <n v="8295"/>
    <n v="4"/>
    <d v="2023-11-15T00:00:00"/>
    <n v="33"/>
    <n v="-33"/>
    <n v="33"/>
    <n v="0"/>
    <n v="530880"/>
  </r>
  <r>
    <s v="Site_319"/>
    <x v="3"/>
    <x v="0"/>
    <n v="81"/>
    <n v="103"/>
    <n v="54"/>
    <n v="4300"/>
    <n v="12"/>
    <d v="2023-11-16T00:00:00"/>
    <n v="-22"/>
    <n v="22"/>
    <n v="0"/>
    <n v="22"/>
    <n v="232200"/>
  </r>
  <r>
    <s v="Site_320"/>
    <x v="1"/>
    <x v="1"/>
    <n v="40"/>
    <n v="24"/>
    <n v="42"/>
    <n v="7279"/>
    <n v="8"/>
    <d v="2023-11-17T00:00:00"/>
    <n v="16"/>
    <n v="-16"/>
    <n v="16"/>
    <n v="0"/>
    <n v="305718"/>
  </r>
  <r>
    <s v="Site_321"/>
    <x v="2"/>
    <x v="2"/>
    <n v="18"/>
    <n v="117"/>
    <n v="73"/>
    <n v="9553"/>
    <n v="2"/>
    <d v="2023-11-18T00:00:00"/>
    <n v="-99"/>
    <n v="99"/>
    <n v="0"/>
    <n v="99"/>
    <n v="697369"/>
  </r>
  <r>
    <s v="Site_322"/>
    <x v="1"/>
    <x v="1"/>
    <n v="60"/>
    <n v="65"/>
    <n v="29"/>
    <n v="8353"/>
    <n v="9"/>
    <d v="2023-11-19T00:00:00"/>
    <n v="-5"/>
    <n v="5"/>
    <n v="0"/>
    <n v="5"/>
    <n v="242237"/>
  </r>
  <r>
    <s v="Site_323"/>
    <x v="3"/>
    <x v="0"/>
    <n v="38"/>
    <n v="110"/>
    <n v="16"/>
    <n v="4727"/>
    <n v="13"/>
    <d v="2023-11-20T00:00:00"/>
    <n v="-72"/>
    <n v="72"/>
    <n v="0"/>
    <n v="72"/>
    <n v="75632"/>
  </r>
  <r>
    <s v="Site_324"/>
    <x v="3"/>
    <x v="1"/>
    <n v="87"/>
    <n v="39"/>
    <n v="25"/>
    <n v="7272"/>
    <n v="14"/>
    <d v="2023-11-21T00:00:00"/>
    <n v="48"/>
    <n v="-48"/>
    <n v="48"/>
    <n v="0"/>
    <n v="181800"/>
  </r>
  <r>
    <s v="Site_325"/>
    <x v="3"/>
    <x v="1"/>
    <n v="49"/>
    <n v="54"/>
    <n v="7"/>
    <n v="6995"/>
    <n v="6"/>
    <d v="2023-11-22T00:00:00"/>
    <n v="-5"/>
    <n v="5"/>
    <n v="0"/>
    <n v="5"/>
    <n v="48965"/>
  </r>
  <r>
    <s v="Site_326"/>
    <x v="0"/>
    <x v="1"/>
    <n v="50"/>
    <n v="86"/>
    <n v="46"/>
    <n v="1514"/>
    <n v="9"/>
    <d v="2023-11-23T00:00:00"/>
    <n v="-36"/>
    <n v="36"/>
    <n v="0"/>
    <n v="36"/>
    <n v="69644"/>
  </r>
  <r>
    <s v="Site_327"/>
    <x v="0"/>
    <x v="2"/>
    <n v="95"/>
    <n v="66"/>
    <n v="75"/>
    <n v="1448"/>
    <n v="8"/>
    <d v="2023-11-24T00:00:00"/>
    <n v="29"/>
    <n v="-29"/>
    <n v="29"/>
    <n v="0"/>
    <n v="108600"/>
  </r>
  <r>
    <s v="Site_328"/>
    <x v="1"/>
    <x v="1"/>
    <n v="20"/>
    <n v="21"/>
    <n v="71"/>
    <n v="7019"/>
    <n v="7"/>
    <d v="2023-11-25T00:00:00"/>
    <n v="-1"/>
    <n v="1"/>
    <n v="0"/>
    <n v="1"/>
    <n v="498349"/>
  </r>
  <r>
    <s v="Site_329"/>
    <x v="1"/>
    <x v="2"/>
    <n v="32"/>
    <n v="92"/>
    <n v="45"/>
    <n v="6343"/>
    <n v="13"/>
    <d v="2023-11-26T00:00:00"/>
    <n v="-60"/>
    <n v="60"/>
    <n v="0"/>
    <n v="60"/>
    <n v="285435"/>
  </r>
  <r>
    <s v="Site_330"/>
    <x v="2"/>
    <x v="2"/>
    <n v="10"/>
    <n v="7"/>
    <n v="67"/>
    <n v="9033"/>
    <n v="14"/>
    <d v="2023-11-27T00:00:00"/>
    <n v="3"/>
    <n v="-3"/>
    <n v="3"/>
    <n v="0"/>
    <n v="605211"/>
  </r>
  <r>
    <s v="Site_331"/>
    <x v="2"/>
    <x v="1"/>
    <n v="55"/>
    <n v="36"/>
    <n v="32"/>
    <n v="3520"/>
    <n v="1"/>
    <d v="2023-11-28T00:00:00"/>
    <n v="19"/>
    <n v="-19"/>
    <n v="19"/>
    <n v="0"/>
    <n v="112640"/>
  </r>
  <r>
    <s v="Site_332"/>
    <x v="1"/>
    <x v="1"/>
    <n v="30"/>
    <n v="103"/>
    <n v="0"/>
    <n v="4081"/>
    <n v="14"/>
    <d v="2023-11-29T00:00:00"/>
    <n v="-73"/>
    <n v="73"/>
    <n v="0"/>
    <n v="73"/>
    <n v="0"/>
  </r>
  <r>
    <s v="Site_333"/>
    <x v="0"/>
    <x v="1"/>
    <n v="99"/>
    <n v="106"/>
    <n v="18"/>
    <n v="2428"/>
    <n v="12"/>
    <d v="2023-11-30T00:00:00"/>
    <n v="-7"/>
    <n v="7"/>
    <n v="0"/>
    <n v="7"/>
    <n v="43704"/>
  </r>
  <r>
    <s v="Site_334"/>
    <x v="3"/>
    <x v="0"/>
    <n v="45"/>
    <n v="17"/>
    <n v="30"/>
    <n v="4967"/>
    <n v="3"/>
    <d v="2023-12-01T00:00:00"/>
    <n v="28"/>
    <n v="-28"/>
    <n v="28"/>
    <n v="0"/>
    <n v="149010"/>
  </r>
  <r>
    <s v="Site_335"/>
    <x v="1"/>
    <x v="1"/>
    <n v="63"/>
    <n v="115"/>
    <n v="79"/>
    <n v="7445"/>
    <n v="11"/>
    <d v="2023-12-02T00:00:00"/>
    <n v="-52"/>
    <n v="52"/>
    <n v="0"/>
    <n v="52"/>
    <n v="588155"/>
  </r>
  <r>
    <s v="Site_336"/>
    <x v="2"/>
    <x v="2"/>
    <n v="96"/>
    <n v="93"/>
    <n v="13"/>
    <n v="3159"/>
    <n v="14"/>
    <d v="2023-12-03T00:00:00"/>
    <n v="3"/>
    <n v="-3"/>
    <n v="3"/>
    <n v="0"/>
    <n v="41067"/>
  </r>
  <r>
    <s v="Site_337"/>
    <x v="0"/>
    <x v="1"/>
    <n v="66"/>
    <n v="77"/>
    <n v="52"/>
    <n v="6132"/>
    <n v="2"/>
    <d v="2023-12-04T00:00:00"/>
    <n v="-11"/>
    <n v="11"/>
    <n v="0"/>
    <n v="11"/>
    <n v="318864"/>
  </r>
  <r>
    <s v="Site_338"/>
    <x v="1"/>
    <x v="0"/>
    <n v="10"/>
    <n v="72"/>
    <n v="47"/>
    <n v="3547"/>
    <n v="5"/>
    <d v="2023-12-05T00:00:00"/>
    <n v="-62"/>
    <n v="62"/>
    <n v="0"/>
    <n v="62"/>
    <n v="166709"/>
  </r>
  <r>
    <s v="Site_339"/>
    <x v="1"/>
    <x v="1"/>
    <n v="72"/>
    <n v="18"/>
    <n v="68"/>
    <n v="3979"/>
    <n v="5"/>
    <d v="2023-12-06T00:00:00"/>
    <n v="54"/>
    <n v="-54"/>
    <n v="54"/>
    <n v="0"/>
    <n v="270572"/>
  </r>
  <r>
    <s v="Site_340"/>
    <x v="0"/>
    <x v="0"/>
    <n v="63"/>
    <n v="105"/>
    <n v="61"/>
    <n v="3649"/>
    <n v="5"/>
    <d v="2023-12-07T00:00:00"/>
    <n v="-42"/>
    <n v="42"/>
    <n v="0"/>
    <n v="42"/>
    <n v="222589"/>
  </r>
  <r>
    <s v="Site_341"/>
    <x v="1"/>
    <x v="0"/>
    <n v="64"/>
    <n v="102"/>
    <n v="65"/>
    <n v="9505"/>
    <n v="4"/>
    <d v="2023-12-08T00:00:00"/>
    <n v="-38"/>
    <n v="38"/>
    <n v="0"/>
    <n v="38"/>
    <n v="617825"/>
  </r>
  <r>
    <s v="Site_342"/>
    <x v="0"/>
    <x v="1"/>
    <n v="49"/>
    <n v="15"/>
    <n v="63"/>
    <n v="4083"/>
    <n v="5"/>
    <d v="2023-12-09T00:00:00"/>
    <n v="34"/>
    <n v="-34"/>
    <n v="34"/>
    <n v="0"/>
    <n v="257229"/>
  </r>
  <r>
    <s v="Site_343"/>
    <x v="3"/>
    <x v="2"/>
    <n v="24"/>
    <n v="109"/>
    <n v="69"/>
    <n v="2037"/>
    <n v="3"/>
    <d v="2023-12-10T00:00:00"/>
    <n v="-85"/>
    <n v="85"/>
    <n v="0"/>
    <n v="85"/>
    <n v="140553"/>
  </r>
  <r>
    <s v="Site_344"/>
    <x v="0"/>
    <x v="0"/>
    <n v="30"/>
    <n v="60"/>
    <n v="62"/>
    <n v="4489"/>
    <n v="12"/>
    <d v="2023-12-11T00:00:00"/>
    <n v="-30"/>
    <n v="30"/>
    <n v="0"/>
    <n v="30"/>
    <n v="278318"/>
  </r>
  <r>
    <s v="Site_345"/>
    <x v="0"/>
    <x v="1"/>
    <n v="56"/>
    <n v="71"/>
    <n v="72"/>
    <n v="8604"/>
    <n v="1"/>
    <d v="2023-12-12T00:00:00"/>
    <n v="-15"/>
    <n v="15"/>
    <n v="0"/>
    <n v="15"/>
    <n v="619488"/>
  </r>
  <r>
    <s v="Site_346"/>
    <x v="0"/>
    <x v="1"/>
    <n v="82"/>
    <n v="96"/>
    <n v="32"/>
    <n v="8544"/>
    <n v="5"/>
    <d v="2023-12-13T00:00:00"/>
    <n v="-14"/>
    <n v="14"/>
    <n v="0"/>
    <n v="14"/>
    <n v="273408"/>
  </r>
  <r>
    <s v="Site_347"/>
    <x v="1"/>
    <x v="2"/>
    <n v="62"/>
    <n v="33"/>
    <n v="40"/>
    <n v="3634"/>
    <n v="13"/>
    <d v="2023-12-14T00:00:00"/>
    <n v="29"/>
    <n v="-29"/>
    <n v="29"/>
    <n v="0"/>
    <n v="145360"/>
  </r>
  <r>
    <s v="Site_348"/>
    <x v="1"/>
    <x v="0"/>
    <n v="18"/>
    <n v="13"/>
    <n v="47"/>
    <n v="4983"/>
    <n v="9"/>
    <d v="2023-12-15T00:00:00"/>
    <n v="5"/>
    <n v="-5"/>
    <n v="5"/>
    <n v="0"/>
    <n v="234201"/>
  </r>
  <r>
    <s v="Site_349"/>
    <x v="0"/>
    <x v="0"/>
    <n v="83"/>
    <n v="71"/>
    <n v="12"/>
    <n v="2778"/>
    <n v="13"/>
    <d v="2023-12-16T00:00:00"/>
    <n v="12"/>
    <n v="-12"/>
    <n v="12"/>
    <n v="0"/>
    <n v="33336"/>
  </r>
  <r>
    <s v="Site_350"/>
    <x v="1"/>
    <x v="1"/>
    <n v="61"/>
    <n v="29"/>
    <n v="72"/>
    <n v="8902"/>
    <n v="9"/>
    <d v="2023-12-17T00:00:00"/>
    <n v="32"/>
    <n v="-32"/>
    <n v="32"/>
    <n v="0"/>
    <n v="640944"/>
  </r>
  <r>
    <s v="Site_351"/>
    <x v="2"/>
    <x v="1"/>
    <n v="66"/>
    <n v="102"/>
    <n v="76"/>
    <n v="6110"/>
    <n v="4"/>
    <d v="2023-12-18T00:00:00"/>
    <n v="-36"/>
    <n v="36"/>
    <n v="0"/>
    <n v="36"/>
    <n v="464360"/>
  </r>
  <r>
    <s v="Site_352"/>
    <x v="2"/>
    <x v="2"/>
    <n v="35"/>
    <n v="80"/>
    <n v="30"/>
    <n v="6189"/>
    <n v="3"/>
    <d v="2023-12-19T00:00:00"/>
    <n v="-45"/>
    <n v="45"/>
    <n v="0"/>
    <n v="45"/>
    <n v="185670"/>
  </r>
  <r>
    <s v="Site_353"/>
    <x v="1"/>
    <x v="2"/>
    <n v="50"/>
    <n v="46"/>
    <n v="74"/>
    <n v="8378"/>
    <n v="1"/>
    <d v="2023-12-20T00:00:00"/>
    <n v="4"/>
    <n v="-4"/>
    <n v="4"/>
    <n v="0"/>
    <n v="619972"/>
  </r>
  <r>
    <s v="Site_354"/>
    <x v="1"/>
    <x v="0"/>
    <n v="44"/>
    <n v="13"/>
    <n v="67"/>
    <n v="2124"/>
    <n v="2"/>
    <d v="2023-12-21T00:00:00"/>
    <n v="31"/>
    <n v="-31"/>
    <n v="31"/>
    <n v="0"/>
    <n v="142308"/>
  </r>
  <r>
    <s v="Site_355"/>
    <x v="0"/>
    <x v="0"/>
    <n v="72"/>
    <n v="83"/>
    <n v="3"/>
    <n v="1697"/>
    <n v="8"/>
    <d v="2023-12-22T00:00:00"/>
    <n v="-11"/>
    <n v="11"/>
    <n v="0"/>
    <n v="11"/>
    <n v="5091"/>
  </r>
  <r>
    <s v="Site_356"/>
    <x v="3"/>
    <x v="1"/>
    <n v="34"/>
    <n v="44"/>
    <n v="18"/>
    <n v="3179"/>
    <n v="1"/>
    <d v="2023-12-23T00:00:00"/>
    <n v="-10"/>
    <n v="10"/>
    <n v="0"/>
    <n v="10"/>
    <n v="57222"/>
  </r>
  <r>
    <s v="Site_357"/>
    <x v="1"/>
    <x v="0"/>
    <n v="99"/>
    <n v="29"/>
    <n v="69"/>
    <n v="6251"/>
    <n v="8"/>
    <d v="2023-12-24T00:00:00"/>
    <n v="70"/>
    <n v="-70"/>
    <n v="70"/>
    <n v="0"/>
    <n v="431319"/>
  </r>
  <r>
    <s v="Site_358"/>
    <x v="2"/>
    <x v="2"/>
    <n v="84"/>
    <n v="9"/>
    <n v="12"/>
    <n v="2929"/>
    <n v="13"/>
    <d v="2023-12-25T00:00:00"/>
    <n v="75"/>
    <n v="-75"/>
    <n v="75"/>
    <n v="0"/>
    <n v="35148"/>
  </r>
  <r>
    <s v="Site_359"/>
    <x v="0"/>
    <x v="2"/>
    <n v="47"/>
    <n v="15"/>
    <n v="22"/>
    <n v="2013"/>
    <n v="7"/>
    <d v="2023-12-26T00:00:00"/>
    <n v="32"/>
    <n v="-32"/>
    <n v="32"/>
    <n v="0"/>
    <n v="44286"/>
  </r>
  <r>
    <s v="Site_360"/>
    <x v="1"/>
    <x v="1"/>
    <n v="11"/>
    <n v="63"/>
    <n v="74"/>
    <n v="1226"/>
    <n v="8"/>
    <d v="2023-12-27T00:00:00"/>
    <n v="-52"/>
    <n v="52"/>
    <n v="0"/>
    <n v="52"/>
    <n v="90724"/>
  </r>
  <r>
    <s v="Site_361"/>
    <x v="2"/>
    <x v="2"/>
    <n v="16"/>
    <n v="102"/>
    <n v="0"/>
    <n v="8321"/>
    <n v="12"/>
    <d v="2023-12-28T00:00:00"/>
    <n v="-86"/>
    <n v="86"/>
    <n v="0"/>
    <n v="86"/>
    <n v="0"/>
  </r>
  <r>
    <s v="Site_362"/>
    <x v="2"/>
    <x v="2"/>
    <n v="91"/>
    <n v="92"/>
    <n v="53"/>
    <n v="2828"/>
    <n v="6"/>
    <d v="2023-12-29T00:00:00"/>
    <n v="-1"/>
    <n v="1"/>
    <n v="0"/>
    <n v="1"/>
    <n v="149884"/>
  </r>
  <r>
    <s v="Site_363"/>
    <x v="3"/>
    <x v="2"/>
    <n v="43"/>
    <n v="83"/>
    <n v="70"/>
    <n v="8909"/>
    <n v="12"/>
    <d v="2023-12-30T00:00:00"/>
    <n v="-40"/>
    <n v="40"/>
    <n v="0"/>
    <n v="40"/>
    <n v="623630"/>
  </r>
  <r>
    <s v="Site_364"/>
    <x v="0"/>
    <x v="2"/>
    <n v="26"/>
    <n v="42"/>
    <n v="14"/>
    <n v="6588"/>
    <n v="14"/>
    <d v="2023-12-31T00:00:00"/>
    <n v="-16"/>
    <n v="16"/>
    <n v="0"/>
    <n v="16"/>
    <n v="92232"/>
  </r>
  <r>
    <s v="Site_365"/>
    <x v="0"/>
    <x v="1"/>
    <n v="52"/>
    <n v="76"/>
    <n v="64"/>
    <n v="3023"/>
    <n v="9"/>
    <d v="2024-01-01T00:00:00"/>
    <n v="-24"/>
    <n v="24"/>
    <n v="0"/>
    <n v="24"/>
    <n v="193472"/>
  </r>
  <r>
    <s v="Site_366"/>
    <x v="3"/>
    <x v="1"/>
    <n v="68"/>
    <n v="9"/>
    <n v="75"/>
    <n v="5966"/>
    <n v="3"/>
    <d v="2024-01-02T00:00:00"/>
    <n v="59"/>
    <n v="-59"/>
    <n v="59"/>
    <n v="0"/>
    <n v="447450"/>
  </r>
  <r>
    <s v="Site_367"/>
    <x v="3"/>
    <x v="0"/>
    <n v="60"/>
    <n v="52"/>
    <n v="70"/>
    <n v="6891"/>
    <n v="10"/>
    <d v="2024-01-03T00:00:00"/>
    <n v="8"/>
    <n v="-8"/>
    <n v="8"/>
    <n v="0"/>
    <n v="482370"/>
  </r>
  <r>
    <s v="Site_368"/>
    <x v="0"/>
    <x v="2"/>
    <n v="63"/>
    <n v="94"/>
    <n v="14"/>
    <n v="2080"/>
    <n v="4"/>
    <d v="2024-01-04T00:00:00"/>
    <n v="-31"/>
    <n v="31"/>
    <n v="0"/>
    <n v="31"/>
    <n v="29120"/>
  </r>
  <r>
    <s v="Site_369"/>
    <x v="0"/>
    <x v="0"/>
    <n v="33"/>
    <n v="22"/>
    <n v="20"/>
    <n v="6036"/>
    <n v="13"/>
    <d v="2024-01-05T00:00:00"/>
    <n v="11"/>
    <n v="-11"/>
    <n v="11"/>
    <n v="0"/>
    <n v="120720"/>
  </r>
  <r>
    <s v="Site_370"/>
    <x v="1"/>
    <x v="1"/>
    <n v="34"/>
    <n v="74"/>
    <n v="18"/>
    <n v="3563"/>
    <n v="6"/>
    <d v="2024-01-06T00:00:00"/>
    <n v="-40"/>
    <n v="40"/>
    <n v="0"/>
    <n v="40"/>
    <n v="64134"/>
  </r>
  <r>
    <s v="Site_371"/>
    <x v="1"/>
    <x v="1"/>
    <n v="80"/>
    <n v="41"/>
    <n v="59"/>
    <n v="4292"/>
    <n v="8"/>
    <d v="2024-01-07T00:00:00"/>
    <n v="39"/>
    <n v="-39"/>
    <n v="39"/>
    <n v="0"/>
    <n v="253228"/>
  </r>
  <r>
    <s v="Site_372"/>
    <x v="3"/>
    <x v="1"/>
    <n v="61"/>
    <n v="64"/>
    <n v="32"/>
    <n v="4586"/>
    <n v="5"/>
    <d v="2024-01-08T00:00:00"/>
    <n v="-3"/>
    <n v="3"/>
    <n v="0"/>
    <n v="3"/>
    <n v="146752"/>
  </r>
  <r>
    <s v="Site_373"/>
    <x v="1"/>
    <x v="1"/>
    <n v="79"/>
    <n v="52"/>
    <n v="48"/>
    <n v="5431"/>
    <n v="3"/>
    <d v="2024-01-09T00:00:00"/>
    <n v="27"/>
    <n v="-27"/>
    <n v="27"/>
    <n v="0"/>
    <n v="260688"/>
  </r>
  <r>
    <s v="Site_374"/>
    <x v="2"/>
    <x v="1"/>
    <n v="97"/>
    <n v="81"/>
    <n v="34"/>
    <n v="7841"/>
    <n v="6"/>
    <d v="2024-01-10T00:00:00"/>
    <n v="16"/>
    <n v="-16"/>
    <n v="16"/>
    <n v="0"/>
    <n v="266594"/>
  </r>
  <r>
    <s v="Site_375"/>
    <x v="1"/>
    <x v="1"/>
    <n v="42"/>
    <n v="32"/>
    <n v="43"/>
    <n v="7643"/>
    <n v="4"/>
    <d v="2024-01-11T00:00:00"/>
    <n v="10"/>
    <n v="-10"/>
    <n v="10"/>
    <n v="0"/>
    <n v="328649"/>
  </r>
  <r>
    <s v="Site_376"/>
    <x v="1"/>
    <x v="1"/>
    <n v="58"/>
    <n v="73"/>
    <n v="10"/>
    <n v="4959"/>
    <n v="9"/>
    <d v="2024-01-12T00:00:00"/>
    <n v="-15"/>
    <n v="15"/>
    <n v="0"/>
    <n v="15"/>
    <n v="49590"/>
  </r>
  <r>
    <s v="Site_377"/>
    <x v="2"/>
    <x v="2"/>
    <n v="38"/>
    <n v="81"/>
    <n v="71"/>
    <n v="1161"/>
    <n v="13"/>
    <d v="2024-01-13T00:00:00"/>
    <n v="-43"/>
    <n v="43"/>
    <n v="0"/>
    <n v="43"/>
    <n v="82431"/>
  </r>
  <r>
    <s v="Site_378"/>
    <x v="3"/>
    <x v="0"/>
    <n v="72"/>
    <n v="85"/>
    <n v="77"/>
    <n v="1593"/>
    <n v="3"/>
    <d v="2024-01-14T00:00:00"/>
    <n v="-13"/>
    <n v="13"/>
    <n v="0"/>
    <n v="13"/>
    <n v="122661"/>
  </r>
  <r>
    <s v="Site_379"/>
    <x v="2"/>
    <x v="1"/>
    <n v="31"/>
    <n v="118"/>
    <n v="73"/>
    <n v="4390"/>
    <n v="4"/>
    <d v="2024-01-15T00:00:00"/>
    <n v="-87"/>
    <n v="87"/>
    <n v="0"/>
    <n v="87"/>
    <n v="320470"/>
  </r>
  <r>
    <s v="Site_380"/>
    <x v="1"/>
    <x v="2"/>
    <n v="35"/>
    <n v="44"/>
    <n v="65"/>
    <n v="6997"/>
    <n v="7"/>
    <d v="2024-01-16T00:00:00"/>
    <n v="-9"/>
    <n v="9"/>
    <n v="0"/>
    <n v="9"/>
    <n v="454805"/>
  </r>
  <r>
    <s v="Site_381"/>
    <x v="3"/>
    <x v="2"/>
    <n v="37"/>
    <n v="49"/>
    <n v="45"/>
    <n v="7354"/>
    <n v="7"/>
    <d v="2024-01-17T00:00:00"/>
    <n v="-12"/>
    <n v="12"/>
    <n v="0"/>
    <n v="12"/>
    <n v="330930"/>
  </r>
  <r>
    <s v="Site_382"/>
    <x v="1"/>
    <x v="0"/>
    <n v="94"/>
    <n v="100"/>
    <n v="8"/>
    <n v="1663"/>
    <n v="12"/>
    <d v="2024-01-18T00:00:00"/>
    <n v="-6"/>
    <n v="6"/>
    <n v="0"/>
    <n v="6"/>
    <n v="13304"/>
  </r>
  <r>
    <s v="Site_383"/>
    <x v="2"/>
    <x v="1"/>
    <n v="58"/>
    <n v="66"/>
    <n v="2"/>
    <n v="1541"/>
    <n v="12"/>
    <d v="2024-01-19T00:00:00"/>
    <n v="-8"/>
    <n v="8"/>
    <n v="0"/>
    <n v="8"/>
    <n v="3082"/>
  </r>
  <r>
    <s v="Site_384"/>
    <x v="2"/>
    <x v="0"/>
    <n v="80"/>
    <n v="97"/>
    <n v="25"/>
    <n v="6433"/>
    <n v="4"/>
    <d v="2024-01-20T00:00:00"/>
    <n v="-17"/>
    <n v="17"/>
    <n v="0"/>
    <n v="17"/>
    <n v="160825"/>
  </r>
  <r>
    <s v="Site_385"/>
    <x v="1"/>
    <x v="1"/>
    <n v="90"/>
    <n v="119"/>
    <n v="71"/>
    <n v="6093"/>
    <n v="6"/>
    <d v="2024-01-21T00:00:00"/>
    <n v="-29"/>
    <n v="29"/>
    <n v="0"/>
    <n v="29"/>
    <n v="432603"/>
  </r>
  <r>
    <s v="Site_386"/>
    <x v="0"/>
    <x v="2"/>
    <n v="93"/>
    <n v="62"/>
    <n v="47"/>
    <n v="1867"/>
    <n v="12"/>
    <d v="2024-01-22T00:00:00"/>
    <n v="31"/>
    <n v="-31"/>
    <n v="31"/>
    <n v="0"/>
    <n v="87749"/>
  </r>
  <r>
    <s v="Site_387"/>
    <x v="0"/>
    <x v="2"/>
    <n v="58"/>
    <n v="71"/>
    <n v="65"/>
    <n v="9623"/>
    <n v="13"/>
    <d v="2024-01-23T00:00:00"/>
    <n v="-13"/>
    <n v="13"/>
    <n v="0"/>
    <n v="13"/>
    <n v="625495"/>
  </r>
  <r>
    <s v="Site_388"/>
    <x v="2"/>
    <x v="2"/>
    <n v="29"/>
    <n v="60"/>
    <n v="69"/>
    <n v="6469"/>
    <n v="3"/>
    <d v="2024-01-24T00:00:00"/>
    <n v="-31"/>
    <n v="31"/>
    <n v="0"/>
    <n v="31"/>
    <n v="446361"/>
  </r>
  <r>
    <s v="Site_389"/>
    <x v="2"/>
    <x v="2"/>
    <n v="95"/>
    <n v="44"/>
    <n v="27"/>
    <n v="7256"/>
    <n v="6"/>
    <d v="2024-01-25T00:00:00"/>
    <n v="51"/>
    <n v="-51"/>
    <n v="51"/>
    <n v="0"/>
    <n v="195912"/>
  </r>
  <r>
    <s v="Site_390"/>
    <x v="0"/>
    <x v="0"/>
    <n v="72"/>
    <n v="102"/>
    <n v="25"/>
    <n v="2169"/>
    <n v="12"/>
    <d v="2024-01-26T00:00:00"/>
    <n v="-30"/>
    <n v="30"/>
    <n v="0"/>
    <n v="30"/>
    <n v="54225"/>
  </r>
  <r>
    <s v="Site_391"/>
    <x v="0"/>
    <x v="1"/>
    <n v="70"/>
    <n v="44"/>
    <n v="24"/>
    <n v="1830"/>
    <n v="2"/>
    <d v="2024-01-27T00:00:00"/>
    <n v="26"/>
    <n v="-26"/>
    <n v="26"/>
    <n v="0"/>
    <n v="43920"/>
  </r>
  <r>
    <s v="Site_392"/>
    <x v="1"/>
    <x v="1"/>
    <n v="58"/>
    <n v="95"/>
    <n v="11"/>
    <n v="2651"/>
    <n v="8"/>
    <d v="2024-01-28T00:00:00"/>
    <n v="-37"/>
    <n v="37"/>
    <n v="0"/>
    <n v="37"/>
    <n v="29161"/>
  </r>
  <r>
    <s v="Site_393"/>
    <x v="1"/>
    <x v="0"/>
    <n v="80"/>
    <n v="81"/>
    <n v="4"/>
    <n v="2136"/>
    <n v="2"/>
    <d v="2024-01-29T00:00:00"/>
    <n v="-1"/>
    <n v="1"/>
    <n v="0"/>
    <n v="1"/>
    <n v="8544"/>
  </r>
  <r>
    <s v="Site_394"/>
    <x v="0"/>
    <x v="1"/>
    <n v="10"/>
    <n v="113"/>
    <n v="47"/>
    <n v="3810"/>
    <n v="11"/>
    <d v="2024-01-30T00:00:00"/>
    <n v="-103"/>
    <n v="103"/>
    <n v="0"/>
    <n v="103"/>
    <n v="179070"/>
  </r>
  <r>
    <s v="Site_395"/>
    <x v="1"/>
    <x v="2"/>
    <n v="22"/>
    <n v="37"/>
    <n v="36"/>
    <n v="9667"/>
    <n v="7"/>
    <d v="2024-01-31T00:00:00"/>
    <n v="-15"/>
    <n v="15"/>
    <n v="0"/>
    <n v="15"/>
    <n v="348012"/>
  </r>
  <r>
    <s v="Site_396"/>
    <x v="1"/>
    <x v="1"/>
    <n v="96"/>
    <n v="10"/>
    <n v="78"/>
    <n v="2019"/>
    <n v="9"/>
    <d v="2024-02-01T00:00:00"/>
    <n v="86"/>
    <n v="-86"/>
    <n v="86"/>
    <n v="0"/>
    <n v="157482"/>
  </r>
  <r>
    <s v="Site_397"/>
    <x v="3"/>
    <x v="2"/>
    <n v="60"/>
    <n v="92"/>
    <n v="43"/>
    <n v="6237"/>
    <n v="1"/>
    <d v="2024-02-02T00:00:00"/>
    <n v="-32"/>
    <n v="32"/>
    <n v="0"/>
    <n v="32"/>
    <n v="268191"/>
  </r>
  <r>
    <s v="Site_398"/>
    <x v="1"/>
    <x v="0"/>
    <n v="65"/>
    <n v="23"/>
    <n v="14"/>
    <n v="2283"/>
    <n v="8"/>
    <d v="2024-02-03T00:00:00"/>
    <n v="42"/>
    <n v="-42"/>
    <n v="42"/>
    <n v="0"/>
    <n v="31962"/>
  </r>
  <r>
    <s v="Site_399"/>
    <x v="2"/>
    <x v="1"/>
    <n v="92"/>
    <n v="84"/>
    <n v="42"/>
    <n v="1659"/>
    <n v="7"/>
    <d v="2024-02-04T00:00:00"/>
    <n v="8"/>
    <n v="-8"/>
    <n v="8"/>
    <n v="0"/>
    <n v="69678"/>
  </r>
  <r>
    <s v="Site_400"/>
    <x v="1"/>
    <x v="0"/>
    <n v="71"/>
    <n v="44"/>
    <n v="47"/>
    <n v="3010"/>
    <n v="6"/>
    <d v="2024-02-05T00:00:00"/>
    <n v="27"/>
    <n v="-27"/>
    <n v="27"/>
    <n v="0"/>
    <n v="141470"/>
  </r>
  <r>
    <s v="Site_401"/>
    <x v="1"/>
    <x v="1"/>
    <n v="41"/>
    <n v="96"/>
    <n v="69"/>
    <n v="9590"/>
    <n v="6"/>
    <d v="2024-02-06T00:00:00"/>
    <n v="-55"/>
    <n v="55"/>
    <n v="0"/>
    <n v="55"/>
    <n v="661710"/>
  </r>
  <r>
    <s v="Site_402"/>
    <x v="0"/>
    <x v="2"/>
    <n v="39"/>
    <n v="101"/>
    <n v="45"/>
    <n v="2733"/>
    <n v="6"/>
    <d v="2024-02-07T00:00:00"/>
    <n v="-62"/>
    <n v="62"/>
    <n v="0"/>
    <n v="62"/>
    <n v="122985"/>
  </r>
  <r>
    <s v="Site_403"/>
    <x v="2"/>
    <x v="0"/>
    <n v="38"/>
    <n v="63"/>
    <n v="42"/>
    <n v="3125"/>
    <n v="9"/>
    <d v="2024-02-08T00:00:00"/>
    <n v="-25"/>
    <n v="25"/>
    <n v="0"/>
    <n v="25"/>
    <n v="131250"/>
  </r>
  <r>
    <s v="Site_404"/>
    <x v="1"/>
    <x v="1"/>
    <n v="58"/>
    <n v="63"/>
    <n v="20"/>
    <n v="3171"/>
    <n v="2"/>
    <d v="2024-02-09T00:00:00"/>
    <n v="-5"/>
    <n v="5"/>
    <n v="0"/>
    <n v="5"/>
    <n v="63420"/>
  </r>
  <r>
    <s v="Site_405"/>
    <x v="1"/>
    <x v="2"/>
    <n v="54"/>
    <n v="52"/>
    <n v="22"/>
    <n v="9266"/>
    <n v="1"/>
    <d v="2024-02-10T00:00:00"/>
    <n v="2"/>
    <n v="-2"/>
    <n v="2"/>
    <n v="0"/>
    <n v="203852"/>
  </r>
  <r>
    <s v="Site_406"/>
    <x v="3"/>
    <x v="0"/>
    <n v="39"/>
    <n v="45"/>
    <n v="79"/>
    <n v="4471"/>
    <n v="13"/>
    <d v="2024-02-11T00:00:00"/>
    <n v="-6"/>
    <n v="6"/>
    <n v="0"/>
    <n v="6"/>
    <n v="353209"/>
  </r>
  <r>
    <s v="Site_407"/>
    <x v="1"/>
    <x v="0"/>
    <n v="25"/>
    <n v="17"/>
    <n v="46"/>
    <n v="6624"/>
    <n v="12"/>
    <d v="2024-02-12T00:00:00"/>
    <n v="8"/>
    <n v="-8"/>
    <n v="8"/>
    <n v="0"/>
    <n v="304704"/>
  </r>
  <r>
    <s v="Site_408"/>
    <x v="1"/>
    <x v="1"/>
    <n v="49"/>
    <n v="111"/>
    <n v="14"/>
    <n v="9691"/>
    <n v="6"/>
    <d v="2024-02-13T00:00:00"/>
    <n v="-62"/>
    <n v="62"/>
    <n v="0"/>
    <n v="62"/>
    <n v="135674"/>
  </r>
  <r>
    <s v="Site_409"/>
    <x v="3"/>
    <x v="1"/>
    <n v="28"/>
    <n v="49"/>
    <n v="24"/>
    <n v="9329"/>
    <n v="10"/>
    <d v="2024-02-14T00:00:00"/>
    <n v="-21"/>
    <n v="21"/>
    <n v="0"/>
    <n v="21"/>
    <n v="223896"/>
  </r>
  <r>
    <s v="Site_410"/>
    <x v="0"/>
    <x v="1"/>
    <n v="27"/>
    <n v="93"/>
    <n v="35"/>
    <n v="3097"/>
    <n v="11"/>
    <d v="2024-02-15T00:00:00"/>
    <n v="-66"/>
    <n v="66"/>
    <n v="0"/>
    <n v="66"/>
    <n v="108395"/>
  </r>
  <r>
    <s v="Site_411"/>
    <x v="1"/>
    <x v="2"/>
    <n v="10"/>
    <n v="57"/>
    <n v="74"/>
    <n v="6068"/>
    <n v="8"/>
    <d v="2024-02-16T00:00:00"/>
    <n v="-47"/>
    <n v="47"/>
    <n v="0"/>
    <n v="47"/>
    <n v="449032"/>
  </r>
  <r>
    <s v="Site_412"/>
    <x v="3"/>
    <x v="1"/>
    <n v="87"/>
    <n v="46"/>
    <n v="50"/>
    <n v="7397"/>
    <n v="3"/>
    <d v="2024-02-17T00:00:00"/>
    <n v="41"/>
    <n v="-41"/>
    <n v="41"/>
    <n v="0"/>
    <n v="369850"/>
  </r>
  <r>
    <s v="Site_413"/>
    <x v="2"/>
    <x v="0"/>
    <n v="56"/>
    <n v="104"/>
    <n v="14"/>
    <n v="3757"/>
    <n v="12"/>
    <d v="2024-02-18T00:00:00"/>
    <n v="-48"/>
    <n v="48"/>
    <n v="0"/>
    <n v="48"/>
    <n v="52598"/>
  </r>
  <r>
    <s v="Site_414"/>
    <x v="0"/>
    <x v="0"/>
    <n v="75"/>
    <n v="67"/>
    <n v="67"/>
    <n v="4920"/>
    <n v="10"/>
    <d v="2024-02-19T00:00:00"/>
    <n v="8"/>
    <n v="-8"/>
    <n v="8"/>
    <n v="0"/>
    <n v="329640"/>
  </r>
  <r>
    <s v="Site_415"/>
    <x v="2"/>
    <x v="1"/>
    <n v="47"/>
    <n v="31"/>
    <n v="20"/>
    <n v="9186"/>
    <n v="1"/>
    <d v="2024-02-20T00:00:00"/>
    <n v="16"/>
    <n v="-16"/>
    <n v="16"/>
    <n v="0"/>
    <n v="183720"/>
  </r>
  <r>
    <s v="Site_416"/>
    <x v="2"/>
    <x v="1"/>
    <n v="60"/>
    <n v="42"/>
    <n v="12"/>
    <n v="2900"/>
    <n v="9"/>
    <d v="2024-02-21T00:00:00"/>
    <n v="18"/>
    <n v="-18"/>
    <n v="18"/>
    <n v="0"/>
    <n v="34800"/>
  </r>
  <r>
    <s v="Site_417"/>
    <x v="3"/>
    <x v="0"/>
    <n v="72"/>
    <n v="64"/>
    <n v="18"/>
    <n v="3610"/>
    <n v="13"/>
    <d v="2024-02-22T00:00:00"/>
    <n v="8"/>
    <n v="-8"/>
    <n v="8"/>
    <n v="0"/>
    <n v="64980"/>
  </r>
  <r>
    <s v="Site_418"/>
    <x v="1"/>
    <x v="2"/>
    <n v="13"/>
    <n v="11"/>
    <n v="33"/>
    <n v="7900"/>
    <n v="13"/>
    <d v="2024-02-23T00:00:00"/>
    <n v="2"/>
    <n v="-2"/>
    <n v="2"/>
    <n v="0"/>
    <n v="260700"/>
  </r>
  <r>
    <s v="Site_419"/>
    <x v="3"/>
    <x v="1"/>
    <n v="10"/>
    <n v="9"/>
    <n v="77"/>
    <n v="2449"/>
    <n v="1"/>
    <d v="2024-02-24T00:00:00"/>
    <n v="1"/>
    <n v="-1"/>
    <n v="1"/>
    <n v="0"/>
    <n v="188573"/>
  </r>
  <r>
    <s v="Site_420"/>
    <x v="3"/>
    <x v="1"/>
    <n v="17"/>
    <n v="111"/>
    <n v="67"/>
    <n v="9738"/>
    <n v="3"/>
    <d v="2024-02-25T00:00:00"/>
    <n v="-94"/>
    <n v="94"/>
    <n v="0"/>
    <n v="94"/>
    <n v="652446"/>
  </r>
  <r>
    <s v="Site_421"/>
    <x v="3"/>
    <x v="0"/>
    <n v="38"/>
    <n v="49"/>
    <n v="51"/>
    <n v="6017"/>
    <n v="8"/>
    <d v="2024-02-26T00:00:00"/>
    <n v="-11"/>
    <n v="11"/>
    <n v="0"/>
    <n v="11"/>
    <n v="306867"/>
  </r>
  <r>
    <s v="Site_422"/>
    <x v="3"/>
    <x v="1"/>
    <n v="64"/>
    <n v="62"/>
    <n v="26"/>
    <n v="8999"/>
    <n v="14"/>
    <d v="2024-02-27T00:00:00"/>
    <n v="2"/>
    <n v="-2"/>
    <n v="2"/>
    <n v="0"/>
    <n v="233974"/>
  </r>
  <r>
    <s v="Site_423"/>
    <x v="0"/>
    <x v="2"/>
    <n v="12"/>
    <n v="119"/>
    <n v="28"/>
    <n v="7052"/>
    <n v="3"/>
    <d v="2024-02-28T00:00:00"/>
    <n v="-107"/>
    <n v="107"/>
    <n v="0"/>
    <n v="107"/>
    <n v="197456"/>
  </r>
  <r>
    <s v="Site_424"/>
    <x v="1"/>
    <x v="0"/>
    <n v="41"/>
    <n v="35"/>
    <n v="27"/>
    <n v="3096"/>
    <n v="13"/>
    <d v="2024-02-29T00:00:00"/>
    <n v="6"/>
    <n v="-6"/>
    <n v="6"/>
    <n v="0"/>
    <n v="83592"/>
  </r>
  <r>
    <s v="Site_425"/>
    <x v="2"/>
    <x v="1"/>
    <n v="19"/>
    <n v="27"/>
    <n v="34"/>
    <n v="9895"/>
    <n v="4"/>
    <d v="2024-03-01T00:00:00"/>
    <n v="-8"/>
    <n v="8"/>
    <n v="0"/>
    <n v="8"/>
    <n v="336430"/>
  </r>
  <r>
    <s v="Site_426"/>
    <x v="2"/>
    <x v="0"/>
    <n v="83"/>
    <n v="46"/>
    <n v="7"/>
    <n v="7404"/>
    <n v="8"/>
    <d v="2024-03-02T00:00:00"/>
    <n v="37"/>
    <n v="-37"/>
    <n v="37"/>
    <n v="0"/>
    <n v="51828"/>
  </r>
  <r>
    <s v="Site_427"/>
    <x v="1"/>
    <x v="1"/>
    <n v="92"/>
    <n v="14"/>
    <n v="15"/>
    <n v="4331"/>
    <n v="1"/>
    <d v="2024-03-03T00:00:00"/>
    <n v="78"/>
    <n v="-78"/>
    <n v="78"/>
    <n v="0"/>
    <n v="64965"/>
  </r>
  <r>
    <s v="Site_428"/>
    <x v="2"/>
    <x v="1"/>
    <n v="43"/>
    <n v="36"/>
    <n v="35"/>
    <n v="8462"/>
    <n v="13"/>
    <d v="2024-03-04T00:00:00"/>
    <n v="7"/>
    <n v="-7"/>
    <n v="7"/>
    <n v="0"/>
    <n v="296170"/>
  </r>
  <r>
    <s v="Site_429"/>
    <x v="1"/>
    <x v="1"/>
    <n v="96"/>
    <n v="111"/>
    <n v="29"/>
    <n v="6105"/>
    <n v="13"/>
    <d v="2024-03-05T00:00:00"/>
    <n v="-15"/>
    <n v="15"/>
    <n v="0"/>
    <n v="15"/>
    <n v="177045"/>
  </r>
  <r>
    <s v="Site_430"/>
    <x v="2"/>
    <x v="2"/>
    <n v="64"/>
    <n v="57"/>
    <n v="17"/>
    <n v="3978"/>
    <n v="6"/>
    <d v="2024-03-06T00:00:00"/>
    <n v="7"/>
    <n v="-7"/>
    <n v="7"/>
    <n v="0"/>
    <n v="67626"/>
  </r>
  <r>
    <s v="Site_431"/>
    <x v="3"/>
    <x v="2"/>
    <n v="41"/>
    <n v="34"/>
    <n v="1"/>
    <n v="3839"/>
    <n v="1"/>
    <d v="2024-03-07T00:00:00"/>
    <n v="7"/>
    <n v="-7"/>
    <n v="7"/>
    <n v="0"/>
    <n v="3839"/>
  </r>
  <r>
    <s v="Site_432"/>
    <x v="2"/>
    <x v="0"/>
    <n v="59"/>
    <n v="43"/>
    <n v="48"/>
    <n v="4384"/>
    <n v="14"/>
    <d v="2024-03-08T00:00:00"/>
    <n v="16"/>
    <n v="-16"/>
    <n v="16"/>
    <n v="0"/>
    <n v="210432"/>
  </r>
  <r>
    <s v="Site_433"/>
    <x v="1"/>
    <x v="1"/>
    <n v="16"/>
    <n v="35"/>
    <n v="76"/>
    <n v="1685"/>
    <n v="1"/>
    <d v="2024-03-09T00:00:00"/>
    <n v="-19"/>
    <n v="19"/>
    <n v="0"/>
    <n v="19"/>
    <n v="128060"/>
  </r>
  <r>
    <s v="Site_434"/>
    <x v="1"/>
    <x v="1"/>
    <n v="17"/>
    <n v="86"/>
    <n v="3"/>
    <n v="8531"/>
    <n v="14"/>
    <d v="2024-03-10T00:00:00"/>
    <n v="-69"/>
    <n v="69"/>
    <n v="0"/>
    <n v="69"/>
    <n v="25593"/>
  </r>
  <r>
    <s v="Site_435"/>
    <x v="1"/>
    <x v="2"/>
    <n v="74"/>
    <n v="104"/>
    <n v="74"/>
    <n v="5283"/>
    <n v="8"/>
    <d v="2024-03-11T00:00:00"/>
    <n v="-30"/>
    <n v="30"/>
    <n v="0"/>
    <n v="30"/>
    <n v="390942"/>
  </r>
  <r>
    <s v="Site_436"/>
    <x v="1"/>
    <x v="1"/>
    <n v="66"/>
    <n v="6"/>
    <n v="6"/>
    <n v="8736"/>
    <n v="11"/>
    <d v="2024-03-12T00:00:00"/>
    <n v="60"/>
    <n v="-60"/>
    <n v="60"/>
    <n v="0"/>
    <n v="52416"/>
  </r>
  <r>
    <s v="Site_437"/>
    <x v="1"/>
    <x v="2"/>
    <n v="76"/>
    <n v="82"/>
    <n v="73"/>
    <n v="8710"/>
    <n v="4"/>
    <d v="2024-03-13T00:00:00"/>
    <n v="-6"/>
    <n v="6"/>
    <n v="0"/>
    <n v="6"/>
    <n v="635830"/>
  </r>
  <r>
    <s v="Site_438"/>
    <x v="0"/>
    <x v="1"/>
    <n v="97"/>
    <n v="81"/>
    <n v="38"/>
    <n v="2619"/>
    <n v="12"/>
    <d v="2024-03-14T00:00:00"/>
    <n v="16"/>
    <n v="-16"/>
    <n v="16"/>
    <n v="0"/>
    <n v="99522"/>
  </r>
  <r>
    <s v="Site_439"/>
    <x v="0"/>
    <x v="0"/>
    <n v="96"/>
    <n v="97"/>
    <n v="12"/>
    <n v="7868"/>
    <n v="1"/>
    <d v="2024-03-15T00:00:00"/>
    <n v="-1"/>
    <n v="1"/>
    <n v="0"/>
    <n v="1"/>
    <n v="94416"/>
  </r>
  <r>
    <s v="Site_440"/>
    <x v="2"/>
    <x v="1"/>
    <n v="68"/>
    <n v="16"/>
    <n v="30"/>
    <n v="2431"/>
    <n v="10"/>
    <d v="2024-03-16T00:00:00"/>
    <n v="52"/>
    <n v="-52"/>
    <n v="52"/>
    <n v="0"/>
    <n v="72930"/>
  </r>
  <r>
    <s v="Site_441"/>
    <x v="1"/>
    <x v="1"/>
    <n v="81"/>
    <n v="43"/>
    <n v="70"/>
    <n v="5713"/>
    <n v="7"/>
    <d v="2024-03-17T00:00:00"/>
    <n v="38"/>
    <n v="-38"/>
    <n v="38"/>
    <n v="0"/>
    <n v="399910"/>
  </r>
  <r>
    <s v="Site_442"/>
    <x v="2"/>
    <x v="2"/>
    <n v="63"/>
    <n v="70"/>
    <n v="62"/>
    <n v="5998"/>
    <n v="5"/>
    <d v="2024-03-18T00:00:00"/>
    <n v="-7"/>
    <n v="7"/>
    <n v="0"/>
    <n v="7"/>
    <n v="371876"/>
  </r>
  <r>
    <s v="Site_443"/>
    <x v="1"/>
    <x v="1"/>
    <n v="76"/>
    <n v="100"/>
    <n v="55"/>
    <n v="1162"/>
    <n v="5"/>
    <d v="2024-03-19T00:00:00"/>
    <n v="-24"/>
    <n v="24"/>
    <n v="0"/>
    <n v="24"/>
    <n v="63910"/>
  </r>
  <r>
    <s v="Site_444"/>
    <x v="1"/>
    <x v="1"/>
    <n v="60"/>
    <n v="17"/>
    <n v="41"/>
    <n v="2974"/>
    <n v="1"/>
    <d v="2024-03-20T00:00:00"/>
    <n v="43"/>
    <n v="-43"/>
    <n v="43"/>
    <n v="0"/>
    <n v="121934"/>
  </r>
  <r>
    <s v="Site_445"/>
    <x v="0"/>
    <x v="2"/>
    <n v="17"/>
    <n v="50"/>
    <n v="60"/>
    <n v="4291"/>
    <n v="14"/>
    <d v="2024-03-21T00:00:00"/>
    <n v="-33"/>
    <n v="33"/>
    <n v="0"/>
    <n v="33"/>
    <n v="257460"/>
  </r>
  <r>
    <s v="Site_446"/>
    <x v="0"/>
    <x v="0"/>
    <n v="43"/>
    <n v="31"/>
    <n v="41"/>
    <n v="9461"/>
    <n v="10"/>
    <d v="2024-03-22T00:00:00"/>
    <n v="12"/>
    <n v="-12"/>
    <n v="12"/>
    <n v="0"/>
    <n v="387901"/>
  </r>
  <r>
    <s v="Site_447"/>
    <x v="3"/>
    <x v="0"/>
    <n v="44"/>
    <n v="117"/>
    <n v="55"/>
    <n v="1631"/>
    <n v="11"/>
    <d v="2024-03-23T00:00:00"/>
    <n v="-73"/>
    <n v="73"/>
    <n v="0"/>
    <n v="73"/>
    <n v="89705"/>
  </r>
  <r>
    <s v="Site_448"/>
    <x v="0"/>
    <x v="2"/>
    <n v="97"/>
    <n v="109"/>
    <n v="35"/>
    <n v="1905"/>
    <n v="6"/>
    <d v="2024-03-24T00:00:00"/>
    <n v="-12"/>
    <n v="12"/>
    <n v="0"/>
    <n v="12"/>
    <n v="66675"/>
  </r>
  <r>
    <s v="Site_449"/>
    <x v="3"/>
    <x v="2"/>
    <n v="87"/>
    <n v="21"/>
    <n v="67"/>
    <n v="3014"/>
    <n v="14"/>
    <d v="2024-03-25T00:00:00"/>
    <n v="66"/>
    <n v="-66"/>
    <n v="66"/>
    <n v="0"/>
    <n v="201938"/>
  </r>
  <r>
    <s v="Site_450"/>
    <x v="3"/>
    <x v="2"/>
    <n v="41"/>
    <n v="108"/>
    <n v="6"/>
    <n v="8896"/>
    <n v="9"/>
    <d v="2024-03-26T00:00:00"/>
    <n v="-67"/>
    <n v="67"/>
    <n v="0"/>
    <n v="67"/>
    <n v="53376"/>
  </r>
  <r>
    <s v="Site_451"/>
    <x v="3"/>
    <x v="2"/>
    <n v="55"/>
    <n v="99"/>
    <n v="53"/>
    <n v="1204"/>
    <n v="9"/>
    <d v="2024-03-27T00:00:00"/>
    <n v="-44"/>
    <n v="44"/>
    <n v="0"/>
    <n v="44"/>
    <n v="63812"/>
  </r>
  <r>
    <s v="Site_452"/>
    <x v="3"/>
    <x v="2"/>
    <n v="25"/>
    <n v="102"/>
    <n v="0"/>
    <n v="1581"/>
    <n v="8"/>
    <d v="2024-03-28T00:00:00"/>
    <n v="-77"/>
    <n v="77"/>
    <n v="0"/>
    <n v="77"/>
    <n v="0"/>
  </r>
  <r>
    <s v="Site_453"/>
    <x v="3"/>
    <x v="0"/>
    <n v="77"/>
    <n v="64"/>
    <n v="43"/>
    <n v="6675"/>
    <n v="5"/>
    <d v="2024-03-29T00:00:00"/>
    <n v="13"/>
    <n v="-13"/>
    <n v="13"/>
    <n v="0"/>
    <n v="287025"/>
  </r>
  <r>
    <s v="Site_454"/>
    <x v="2"/>
    <x v="0"/>
    <n v="46"/>
    <n v="68"/>
    <n v="44"/>
    <n v="6347"/>
    <n v="1"/>
    <d v="2024-03-30T00:00:00"/>
    <n v="-22"/>
    <n v="22"/>
    <n v="0"/>
    <n v="22"/>
    <n v="279268"/>
  </r>
  <r>
    <s v="Site_455"/>
    <x v="0"/>
    <x v="2"/>
    <n v="63"/>
    <n v="92"/>
    <n v="46"/>
    <n v="3643"/>
    <n v="9"/>
    <d v="2024-03-31T00:00:00"/>
    <n v="-29"/>
    <n v="29"/>
    <n v="0"/>
    <n v="29"/>
    <n v="167578"/>
  </r>
  <r>
    <s v="Site_456"/>
    <x v="3"/>
    <x v="1"/>
    <n v="94"/>
    <n v="113"/>
    <n v="12"/>
    <n v="9017"/>
    <n v="1"/>
    <d v="2024-04-01T00:00:00"/>
    <n v="-19"/>
    <n v="19"/>
    <n v="0"/>
    <n v="19"/>
    <n v="108204"/>
  </r>
  <r>
    <s v="Site_457"/>
    <x v="1"/>
    <x v="2"/>
    <n v="23"/>
    <n v="39"/>
    <n v="21"/>
    <n v="3297"/>
    <n v="8"/>
    <d v="2024-04-02T00:00:00"/>
    <n v="-16"/>
    <n v="16"/>
    <n v="0"/>
    <n v="16"/>
    <n v="69237"/>
  </r>
  <r>
    <s v="Site_458"/>
    <x v="0"/>
    <x v="1"/>
    <n v="64"/>
    <n v="116"/>
    <n v="20"/>
    <n v="1874"/>
    <n v="5"/>
    <d v="2024-04-03T00:00:00"/>
    <n v="-52"/>
    <n v="52"/>
    <n v="0"/>
    <n v="52"/>
    <n v="37480"/>
  </r>
  <r>
    <s v="Site_459"/>
    <x v="0"/>
    <x v="2"/>
    <n v="57"/>
    <n v="74"/>
    <n v="8"/>
    <n v="6560"/>
    <n v="3"/>
    <d v="2024-04-04T00:00:00"/>
    <n v="-17"/>
    <n v="17"/>
    <n v="0"/>
    <n v="17"/>
    <n v="52480"/>
  </r>
  <r>
    <s v="Site_460"/>
    <x v="3"/>
    <x v="2"/>
    <n v="91"/>
    <n v="87"/>
    <n v="25"/>
    <n v="1689"/>
    <n v="11"/>
    <d v="2024-04-05T00:00:00"/>
    <n v="4"/>
    <n v="-4"/>
    <n v="4"/>
    <n v="0"/>
    <n v="42225"/>
  </r>
  <r>
    <s v="Site_461"/>
    <x v="2"/>
    <x v="0"/>
    <n v="16"/>
    <n v="34"/>
    <n v="8"/>
    <n v="5000"/>
    <n v="7"/>
    <d v="2024-04-06T00:00:00"/>
    <n v="-18"/>
    <n v="18"/>
    <n v="0"/>
    <n v="18"/>
    <n v="40000"/>
  </r>
  <r>
    <s v="Site_462"/>
    <x v="3"/>
    <x v="1"/>
    <n v="83"/>
    <n v="75"/>
    <n v="14"/>
    <n v="1671"/>
    <n v="7"/>
    <d v="2024-04-07T00:00:00"/>
    <n v="8"/>
    <n v="-8"/>
    <n v="8"/>
    <n v="0"/>
    <n v="23394"/>
  </r>
  <r>
    <s v="Site_463"/>
    <x v="2"/>
    <x v="1"/>
    <n v="16"/>
    <n v="78"/>
    <n v="9"/>
    <n v="8927"/>
    <n v="9"/>
    <d v="2024-04-08T00:00:00"/>
    <n v="-62"/>
    <n v="62"/>
    <n v="0"/>
    <n v="62"/>
    <n v="80343"/>
  </r>
  <r>
    <s v="Site_464"/>
    <x v="1"/>
    <x v="0"/>
    <n v="42"/>
    <n v="109"/>
    <n v="41"/>
    <n v="2171"/>
    <n v="7"/>
    <d v="2024-04-09T00:00:00"/>
    <n v="-67"/>
    <n v="67"/>
    <n v="0"/>
    <n v="67"/>
    <n v="89011"/>
  </r>
  <r>
    <s v="Site_465"/>
    <x v="0"/>
    <x v="0"/>
    <n v="32"/>
    <n v="100"/>
    <n v="71"/>
    <n v="6591"/>
    <n v="13"/>
    <d v="2024-04-10T00:00:00"/>
    <n v="-68"/>
    <n v="68"/>
    <n v="0"/>
    <n v="68"/>
    <n v="467961"/>
  </r>
  <r>
    <s v="Site_466"/>
    <x v="1"/>
    <x v="0"/>
    <n v="94"/>
    <n v="102"/>
    <n v="23"/>
    <n v="7342"/>
    <n v="11"/>
    <d v="2024-04-11T00:00:00"/>
    <n v="-8"/>
    <n v="8"/>
    <n v="0"/>
    <n v="8"/>
    <n v="168866"/>
  </r>
  <r>
    <s v="Site_467"/>
    <x v="2"/>
    <x v="0"/>
    <n v="28"/>
    <n v="67"/>
    <n v="79"/>
    <n v="2449"/>
    <n v="14"/>
    <d v="2024-04-12T00:00:00"/>
    <n v="-39"/>
    <n v="39"/>
    <n v="0"/>
    <n v="39"/>
    <n v="193471"/>
  </r>
  <r>
    <s v="Site_468"/>
    <x v="2"/>
    <x v="1"/>
    <n v="28"/>
    <n v="32"/>
    <n v="48"/>
    <n v="3539"/>
    <n v="3"/>
    <d v="2024-04-13T00:00:00"/>
    <n v="-4"/>
    <n v="4"/>
    <n v="0"/>
    <n v="4"/>
    <n v="169872"/>
  </r>
  <r>
    <s v="Site_469"/>
    <x v="1"/>
    <x v="1"/>
    <n v="45"/>
    <n v="64"/>
    <n v="25"/>
    <n v="4959"/>
    <n v="11"/>
    <d v="2024-04-14T00:00:00"/>
    <n v="-19"/>
    <n v="19"/>
    <n v="0"/>
    <n v="19"/>
    <n v="123975"/>
  </r>
  <r>
    <s v="Site_470"/>
    <x v="2"/>
    <x v="2"/>
    <n v="38"/>
    <n v="83"/>
    <n v="36"/>
    <n v="7285"/>
    <n v="13"/>
    <d v="2024-04-15T00:00:00"/>
    <n v="-45"/>
    <n v="45"/>
    <n v="0"/>
    <n v="45"/>
    <n v="262260"/>
  </r>
  <r>
    <s v="Site_471"/>
    <x v="1"/>
    <x v="2"/>
    <n v="69"/>
    <n v="98"/>
    <n v="67"/>
    <n v="6432"/>
    <n v="14"/>
    <d v="2024-04-16T00:00:00"/>
    <n v="-29"/>
    <n v="29"/>
    <n v="0"/>
    <n v="29"/>
    <n v="430944"/>
  </r>
  <r>
    <s v="Site_472"/>
    <x v="0"/>
    <x v="0"/>
    <n v="91"/>
    <n v="41"/>
    <n v="49"/>
    <n v="5260"/>
    <n v="13"/>
    <d v="2024-04-17T00:00:00"/>
    <n v="50"/>
    <n v="-50"/>
    <n v="50"/>
    <n v="0"/>
    <n v="257740"/>
  </r>
  <r>
    <s v="Site_473"/>
    <x v="1"/>
    <x v="0"/>
    <n v="11"/>
    <n v="97"/>
    <n v="23"/>
    <n v="3361"/>
    <n v="1"/>
    <d v="2024-04-18T00:00:00"/>
    <n v="-86"/>
    <n v="86"/>
    <n v="0"/>
    <n v="86"/>
    <n v="77303"/>
  </r>
  <r>
    <s v="Site_474"/>
    <x v="0"/>
    <x v="0"/>
    <n v="10"/>
    <n v="26"/>
    <n v="18"/>
    <n v="7164"/>
    <n v="8"/>
    <d v="2024-04-19T00:00:00"/>
    <n v="-16"/>
    <n v="16"/>
    <n v="0"/>
    <n v="16"/>
    <n v="128952"/>
  </r>
  <r>
    <s v="Site_475"/>
    <x v="1"/>
    <x v="2"/>
    <n v="56"/>
    <n v="72"/>
    <n v="59"/>
    <n v="4670"/>
    <n v="12"/>
    <d v="2024-04-20T00:00:00"/>
    <n v="-16"/>
    <n v="16"/>
    <n v="0"/>
    <n v="16"/>
    <n v="275530"/>
  </r>
  <r>
    <s v="Site_476"/>
    <x v="2"/>
    <x v="2"/>
    <n v="78"/>
    <n v="24"/>
    <n v="38"/>
    <n v="2753"/>
    <n v="3"/>
    <d v="2024-04-21T00:00:00"/>
    <n v="54"/>
    <n v="-54"/>
    <n v="54"/>
    <n v="0"/>
    <n v="104614"/>
  </r>
  <r>
    <s v="Site_477"/>
    <x v="1"/>
    <x v="2"/>
    <n v="29"/>
    <n v="100"/>
    <n v="73"/>
    <n v="9100"/>
    <n v="12"/>
    <d v="2024-04-22T00:00:00"/>
    <n v="-71"/>
    <n v="71"/>
    <n v="0"/>
    <n v="71"/>
    <n v="664300"/>
  </r>
  <r>
    <s v="Site_478"/>
    <x v="2"/>
    <x v="2"/>
    <n v="20"/>
    <n v="104"/>
    <n v="17"/>
    <n v="2938"/>
    <n v="8"/>
    <d v="2024-04-23T00:00:00"/>
    <n v="-84"/>
    <n v="84"/>
    <n v="0"/>
    <n v="84"/>
    <n v="49946"/>
  </r>
  <r>
    <s v="Site_479"/>
    <x v="1"/>
    <x v="2"/>
    <n v="11"/>
    <n v="118"/>
    <n v="18"/>
    <n v="9562"/>
    <n v="8"/>
    <d v="2024-04-24T00:00:00"/>
    <n v="-107"/>
    <n v="107"/>
    <n v="0"/>
    <n v="107"/>
    <n v="172116"/>
  </r>
  <r>
    <s v="Site_480"/>
    <x v="1"/>
    <x v="2"/>
    <n v="76"/>
    <n v="72"/>
    <n v="35"/>
    <n v="6976"/>
    <n v="13"/>
    <d v="2024-04-25T00:00:00"/>
    <n v="4"/>
    <n v="-4"/>
    <n v="4"/>
    <n v="0"/>
    <n v="244160"/>
  </r>
  <r>
    <s v="Site_481"/>
    <x v="3"/>
    <x v="2"/>
    <n v="96"/>
    <n v="95"/>
    <n v="73"/>
    <n v="7588"/>
    <n v="5"/>
    <d v="2024-04-26T00:00:00"/>
    <n v="1"/>
    <n v="-1"/>
    <n v="1"/>
    <n v="0"/>
    <n v="553924"/>
  </r>
  <r>
    <s v="Site_482"/>
    <x v="2"/>
    <x v="0"/>
    <n v="21"/>
    <n v="68"/>
    <n v="54"/>
    <n v="9616"/>
    <n v="13"/>
    <d v="2024-04-27T00:00:00"/>
    <n v="-47"/>
    <n v="47"/>
    <n v="0"/>
    <n v="47"/>
    <n v="519264"/>
  </r>
  <r>
    <s v="Site_483"/>
    <x v="3"/>
    <x v="0"/>
    <n v="29"/>
    <n v="21"/>
    <n v="68"/>
    <n v="7304"/>
    <n v="12"/>
    <d v="2024-04-28T00:00:00"/>
    <n v="8"/>
    <n v="-8"/>
    <n v="8"/>
    <n v="0"/>
    <n v="496672"/>
  </r>
  <r>
    <s v="Site_484"/>
    <x v="2"/>
    <x v="0"/>
    <n v="14"/>
    <n v="16"/>
    <n v="46"/>
    <n v="8345"/>
    <n v="13"/>
    <d v="2024-04-29T00:00:00"/>
    <n v="-2"/>
    <n v="2"/>
    <n v="0"/>
    <n v="2"/>
    <n v="383870"/>
  </r>
  <r>
    <s v="Site_485"/>
    <x v="3"/>
    <x v="0"/>
    <n v="46"/>
    <n v="26"/>
    <n v="48"/>
    <n v="8875"/>
    <n v="1"/>
    <d v="2024-04-30T00:00:00"/>
    <n v="20"/>
    <n v="-20"/>
    <n v="20"/>
    <n v="0"/>
    <n v="426000"/>
  </r>
  <r>
    <s v="Site_486"/>
    <x v="0"/>
    <x v="2"/>
    <n v="47"/>
    <n v="21"/>
    <n v="32"/>
    <n v="7633"/>
    <n v="13"/>
    <d v="2024-05-01T00:00:00"/>
    <n v="26"/>
    <n v="-26"/>
    <n v="26"/>
    <n v="0"/>
    <n v="244256"/>
  </r>
  <r>
    <s v="Site_487"/>
    <x v="1"/>
    <x v="1"/>
    <n v="18"/>
    <n v="14"/>
    <n v="20"/>
    <n v="1597"/>
    <n v="10"/>
    <d v="2024-05-02T00:00:00"/>
    <n v="4"/>
    <n v="-4"/>
    <n v="4"/>
    <n v="0"/>
    <n v="31940"/>
  </r>
  <r>
    <s v="Site_488"/>
    <x v="2"/>
    <x v="2"/>
    <n v="62"/>
    <n v="69"/>
    <n v="21"/>
    <n v="4062"/>
    <n v="7"/>
    <d v="2024-05-03T00:00:00"/>
    <n v="-7"/>
    <n v="7"/>
    <n v="0"/>
    <n v="7"/>
    <n v="85302"/>
  </r>
  <r>
    <s v="Site_489"/>
    <x v="2"/>
    <x v="1"/>
    <n v="53"/>
    <n v="26"/>
    <n v="47"/>
    <n v="3336"/>
    <n v="12"/>
    <d v="2024-05-04T00:00:00"/>
    <n v="27"/>
    <n v="-27"/>
    <n v="27"/>
    <n v="0"/>
    <n v="156792"/>
  </r>
  <r>
    <s v="Site_490"/>
    <x v="1"/>
    <x v="0"/>
    <n v="95"/>
    <n v="94"/>
    <n v="36"/>
    <n v="1572"/>
    <n v="10"/>
    <d v="2024-05-05T00:00:00"/>
    <n v="1"/>
    <n v="-1"/>
    <n v="1"/>
    <n v="0"/>
    <n v="56592"/>
  </r>
  <r>
    <s v="Site_491"/>
    <x v="2"/>
    <x v="2"/>
    <n v="33"/>
    <n v="86"/>
    <n v="14"/>
    <n v="8521"/>
    <n v="5"/>
    <d v="2024-05-06T00:00:00"/>
    <n v="-53"/>
    <n v="53"/>
    <n v="0"/>
    <n v="53"/>
    <n v="119294"/>
  </r>
  <r>
    <s v="Site_492"/>
    <x v="2"/>
    <x v="0"/>
    <n v="90"/>
    <n v="54"/>
    <n v="34"/>
    <n v="7171"/>
    <n v="8"/>
    <d v="2024-05-07T00:00:00"/>
    <n v="36"/>
    <n v="-36"/>
    <n v="36"/>
    <n v="0"/>
    <n v="243814"/>
  </r>
  <r>
    <s v="Site_493"/>
    <x v="3"/>
    <x v="2"/>
    <n v="83"/>
    <n v="18"/>
    <n v="70"/>
    <n v="8097"/>
    <n v="9"/>
    <d v="2024-05-08T00:00:00"/>
    <n v="65"/>
    <n v="-65"/>
    <n v="65"/>
    <n v="0"/>
    <n v="566790"/>
  </r>
  <r>
    <s v="Site_494"/>
    <x v="2"/>
    <x v="0"/>
    <n v="39"/>
    <n v="68"/>
    <n v="31"/>
    <n v="3090"/>
    <n v="11"/>
    <d v="2024-05-09T00:00:00"/>
    <n v="-29"/>
    <n v="29"/>
    <n v="0"/>
    <n v="29"/>
    <n v="95790"/>
  </r>
  <r>
    <s v="Site_495"/>
    <x v="0"/>
    <x v="1"/>
    <n v="68"/>
    <n v="51"/>
    <n v="10"/>
    <n v="7566"/>
    <n v="14"/>
    <d v="2024-05-10T00:00:00"/>
    <n v="17"/>
    <n v="-17"/>
    <n v="17"/>
    <n v="0"/>
    <n v="75660"/>
  </r>
  <r>
    <s v="Site_496"/>
    <x v="0"/>
    <x v="1"/>
    <n v="96"/>
    <n v="33"/>
    <n v="9"/>
    <n v="5624"/>
    <n v="7"/>
    <d v="2024-05-11T00:00:00"/>
    <n v="63"/>
    <n v="-63"/>
    <n v="63"/>
    <n v="0"/>
    <n v="50616"/>
  </r>
  <r>
    <s v="Site_497"/>
    <x v="1"/>
    <x v="1"/>
    <n v="90"/>
    <n v="80"/>
    <n v="72"/>
    <n v="2633"/>
    <n v="14"/>
    <d v="2024-05-12T00:00:00"/>
    <n v="10"/>
    <n v="-10"/>
    <n v="10"/>
    <n v="0"/>
    <n v="189576"/>
  </r>
  <r>
    <s v="Site_498"/>
    <x v="2"/>
    <x v="2"/>
    <n v="90"/>
    <n v="40"/>
    <n v="77"/>
    <n v="2517"/>
    <n v="13"/>
    <d v="2024-05-13T00:00:00"/>
    <n v="50"/>
    <n v="-50"/>
    <n v="50"/>
    <n v="0"/>
    <n v="193809"/>
  </r>
  <r>
    <s v="Site_499"/>
    <x v="1"/>
    <x v="1"/>
    <n v="23"/>
    <n v="103"/>
    <n v="76"/>
    <n v="4648"/>
    <n v="7"/>
    <d v="2024-05-14T00:00:00"/>
    <n v="-80"/>
    <n v="80"/>
    <n v="0"/>
    <n v="80"/>
    <n v="353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0914F-09E4-4198-AA9E-24E130A32DFC}"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1" showAll="0"/>
    <pivotField numFmtId="1" showAll="0"/>
    <pivotField dataField="1" numFmtId="1" showAll="0"/>
    <pivotField numFmtId="1" showAll="0"/>
    <pivotField showAll="0"/>
  </pivotFields>
  <rowFields count="1">
    <field x="1"/>
  </rowFields>
  <rowItems count="5">
    <i>
      <x v="3"/>
    </i>
    <i>
      <x v="1"/>
    </i>
    <i>
      <x/>
    </i>
    <i>
      <x v="2"/>
    </i>
    <i t="grand">
      <x/>
    </i>
  </rowItems>
  <colItems count="1">
    <i/>
  </colItems>
  <dataFields count="1">
    <dataField name="Sum of Clean_Shortage"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ED54D0-C94D-4E6F-B463-2DA3F0F14EE7}"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1" showAll="0"/>
    <pivotField numFmtId="1" showAll="0"/>
    <pivotField numFmtId="1" showAll="0"/>
    <pivotField dataField="1" numFmtId="1" showAll="0"/>
    <pivotField showAll="0"/>
  </pivotFields>
  <rowFields count="1">
    <field x="1"/>
  </rowFields>
  <rowItems count="5">
    <i>
      <x v="3"/>
    </i>
    <i>
      <x/>
    </i>
    <i>
      <x v="1"/>
    </i>
    <i>
      <x v="2"/>
    </i>
    <i t="grand">
      <x/>
    </i>
  </rowItems>
  <colItems count="1">
    <i/>
  </colItems>
  <dataFields count="1">
    <dataField name="Sum of Clean_Excess"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AEE52C-E8D4-49A8-9374-E071E263D483}"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1" showAll="0"/>
    <pivotField numFmtId="1" showAll="0"/>
    <pivotField numFmtId="1" showAll="0"/>
    <pivotField numFmtId="1" showAll="0"/>
    <pivotField dataField="1" showAll="0"/>
  </pivotFields>
  <rowFields count="1">
    <field x="2"/>
  </rowFields>
  <rowItems count="4">
    <i>
      <x/>
    </i>
    <i>
      <x v="2"/>
    </i>
    <i>
      <x v="1"/>
    </i>
    <i t="grand">
      <x/>
    </i>
  </rowItems>
  <colItems count="1">
    <i/>
  </colItems>
  <dataFields count="1">
    <dataField name="Sum of Total_Order_Cos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D21804-AE3A-45E8-884F-15A745991913}" name="Table1" displayName="Table1" ref="A1:O501" totalsRowShown="0" headerRowDxfId="5" headerRowBorderDxfId="7" tableBorderDxfId="8">
  <autoFilter ref="A1:O501" xr:uid="{D1D21804-AE3A-45E8-884F-15A745991913}">
    <filterColumn colId="14">
      <filters>
        <filter val="1"/>
      </filters>
    </filterColumn>
  </autoFilter>
  <tableColumns count="15">
    <tableColumn id="1" xr3:uid="{DA3CAC46-4A7F-4EFD-8CA9-F46860A42528}" name="Site_ID"/>
    <tableColumn id="2" xr3:uid="{EA843ED4-5B4F-439A-B50C-DA4F630B1401}" name="Region"/>
    <tableColumn id="3" xr3:uid="{F587E53E-00A9-4131-B0AE-88229EF90534}" name="Equipment_Type"/>
    <tableColumn id="4" xr3:uid="{A4ABB36F-8A9D-4DCF-9DAC-75CEF7E55FD1}" name="Required_Qty"/>
    <tableColumn id="5" xr3:uid="{AC626646-250D-4566-835F-C84004CEEE1F}" name="Available_Qty"/>
    <tableColumn id="6" xr3:uid="{4A4CE3A6-232F-4FAE-A28B-F302DBDE9270}" name="Ordered_Qty"/>
    <tableColumn id="7" xr3:uid="{B9B92653-F9F5-4D8C-8740-DF8A9AEA6ECA}" name="Unit_Cost"/>
    <tableColumn id="8" xr3:uid="{EB256AD0-D9FF-4826-A9B7-B05D0700F5B6}" name="Lead_Time_Days"/>
    <tableColumn id="9" xr3:uid="{19A27BBC-CF36-4DBF-9120-C0DE21FE3FD4}" name="Order_Date" dataDxfId="6"/>
    <tableColumn id="14" xr3:uid="{DFD2568F-200B-4DBF-83B7-CA097D4768D1}" name="Shortage" dataDxfId="4" dataCellStyle="Comma">
      <calculatedColumnFormula>Table1[[#This Row],[Required_Qty]]-Table1[[#This Row],[Available_Qty]]</calculatedColumnFormula>
    </tableColumn>
    <tableColumn id="20" xr3:uid="{F3E789CC-1333-4979-B199-916358586D5B}" name="Excess" dataDxfId="1" dataCellStyle="Comma"/>
    <tableColumn id="18" xr3:uid="{FD33F607-075A-49C9-A94B-A418E9E1EC0C}" name="Clean_Shortage" dataDxfId="3" dataCellStyle="Comma">
      <calculatedColumnFormula>IF(Table1[[#This Row],[Required_Qty]]&gt;Table1[[#This Row],[Available_Qty]],Table1[[#This Row],[Required_Qty]]-Table1[[#This Row],[Available_Qty]],0)</calculatedColumnFormula>
    </tableColumn>
    <tableColumn id="17" xr3:uid="{DB968EB3-3EB8-4574-93C3-E6F4863E2ABD}" name="Clean_Excess" dataDxfId="2" dataCellStyle="Comma">
      <calculatedColumnFormula>IF(Table1[[#This Row],[Required_Qty]]&lt;Table1[[#This Row],[Available_Qty]],Table1[[#This Row],[Available_Qty]]-Table1[[#This Row],[Required_Qty]],0)</calculatedColumnFormula>
    </tableColumn>
    <tableColumn id="12" xr3:uid="{5E0B6A74-049C-4CD0-8020-01821F4A2B10}" name="Total_Order_Cost"/>
    <tableColumn id="21" xr3:uid="{FA870841-41BA-488B-B66B-91A7FCA3D6AF}" name="Critical_Sites" dataDxfId="0" dataCellStyle="Comma">
      <calculatedColumnFormula>IF(AND(Table1[[#This Row],[Clean_Shortage]]&gt;0,Table1[[#This Row],[Lead_Time_Days]]&gt;10),1,0)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workbookViewId="0">
      <selection activeCell="O70" sqref="O70"/>
    </sheetView>
  </sheetViews>
  <sheetFormatPr defaultRowHeight="14.4" x14ac:dyDescent="0.3"/>
  <cols>
    <col min="1" max="1" width="8.77734375" customWidth="1"/>
    <col min="2" max="2" width="8.6640625" customWidth="1"/>
    <col min="3" max="3" width="17.21875" customWidth="1"/>
    <col min="4" max="4" width="14.44140625" customWidth="1"/>
    <col min="5" max="5" width="14.5546875" customWidth="1"/>
    <col min="6" max="6" width="13.77734375" customWidth="1"/>
    <col min="7" max="7" width="11.109375" customWidth="1"/>
    <col min="8" max="8" width="17" customWidth="1"/>
    <col min="9" max="9" width="18.109375" bestFit="1" customWidth="1"/>
    <col min="10" max="11" width="18.109375" style="7" hidden="1" customWidth="1"/>
    <col min="12" max="13" width="18.109375" style="7" customWidth="1"/>
    <col min="14" max="14" width="17.5546875" customWidth="1"/>
    <col min="15" max="15" width="17.21875" bestFit="1" customWidth="1"/>
  </cols>
  <sheetData>
    <row r="1" spans="1:15" x14ac:dyDescent="0.3">
      <c r="A1" s="2" t="s">
        <v>0</v>
      </c>
      <c r="B1" s="2" t="s">
        <v>1</v>
      </c>
      <c r="C1" s="2" t="s">
        <v>2</v>
      </c>
      <c r="D1" s="2" t="s">
        <v>3</v>
      </c>
      <c r="E1" s="2" t="s">
        <v>4</v>
      </c>
      <c r="F1" s="2" t="s">
        <v>5</v>
      </c>
      <c r="G1" s="2" t="s">
        <v>6</v>
      </c>
      <c r="H1" s="2" t="s">
        <v>7</v>
      </c>
      <c r="I1" s="2" t="s">
        <v>8</v>
      </c>
      <c r="J1" s="6" t="s">
        <v>9</v>
      </c>
      <c r="K1" s="6" t="s">
        <v>10</v>
      </c>
      <c r="L1" s="6" t="s">
        <v>522</v>
      </c>
      <c r="M1" s="6" t="s">
        <v>523</v>
      </c>
      <c r="N1" s="2" t="s">
        <v>11</v>
      </c>
      <c r="O1" s="2" t="s">
        <v>534</v>
      </c>
    </row>
    <row r="2" spans="1:15" hidden="1" x14ac:dyDescent="0.3">
      <c r="A2" t="s">
        <v>12</v>
      </c>
      <c r="B2" t="s">
        <v>512</v>
      </c>
      <c r="C2" t="s">
        <v>516</v>
      </c>
      <c r="D2">
        <v>83</v>
      </c>
      <c r="E2">
        <v>13</v>
      </c>
      <c r="F2">
        <v>51</v>
      </c>
      <c r="G2">
        <v>7652</v>
      </c>
      <c r="H2">
        <v>10</v>
      </c>
      <c r="I2" s="1">
        <v>44927</v>
      </c>
      <c r="J2" s="7">
        <f>Table1[[#This Row],[Required_Qty]]-Table1[[#This Row],[Available_Qty]]</f>
        <v>70</v>
      </c>
      <c r="K2" s="7">
        <v>-70</v>
      </c>
      <c r="L2" s="7">
        <f>IF(Table1[[#This Row],[Required_Qty]]&gt;Table1[[#This Row],[Available_Qty]],Table1[[#This Row],[Required_Qty]]-Table1[[#This Row],[Available_Qty]],0)</f>
        <v>70</v>
      </c>
      <c r="M2" s="7">
        <f>IF(Table1[[#This Row],[Required_Qty]]&lt;Table1[[#This Row],[Available_Qty]],Table1[[#This Row],[Available_Qty]]-Table1[[#This Row],[Required_Qty]],0)</f>
        <v>0</v>
      </c>
      <c r="N2">
        <v>390252</v>
      </c>
      <c r="O2" s="7">
        <f>IF(AND(Table1[[#This Row],[Clean_Shortage]]&gt;0,Table1[[#This Row],[Lead_Time_Days]]&gt;10),1,0)</f>
        <v>0</v>
      </c>
    </row>
    <row r="3" spans="1:15" hidden="1" x14ac:dyDescent="0.3">
      <c r="A3" t="s">
        <v>13</v>
      </c>
      <c r="B3" t="s">
        <v>513</v>
      </c>
      <c r="C3" t="s">
        <v>517</v>
      </c>
      <c r="D3">
        <v>26</v>
      </c>
      <c r="E3">
        <v>44</v>
      </c>
      <c r="F3">
        <v>75</v>
      </c>
      <c r="G3">
        <v>9632</v>
      </c>
      <c r="H3">
        <v>5</v>
      </c>
      <c r="I3" s="1">
        <v>44928</v>
      </c>
      <c r="J3" s="7">
        <f>Table1[[#This Row],[Required_Qty]]-Table1[[#This Row],[Available_Qty]]</f>
        <v>-18</v>
      </c>
      <c r="K3" s="7">
        <v>18</v>
      </c>
      <c r="L3" s="7">
        <f>IF(Table1[[#This Row],[Required_Qty]]&gt;Table1[[#This Row],[Available_Qty]],Table1[[#This Row],[Required_Qty]]-Table1[[#This Row],[Available_Qty]],0)</f>
        <v>0</v>
      </c>
      <c r="M3" s="7">
        <f>IF(Table1[[#This Row],[Required_Qty]]&lt;Table1[[#This Row],[Available_Qty]],Table1[[#This Row],[Available_Qty]]-Table1[[#This Row],[Required_Qty]],0)</f>
        <v>18</v>
      </c>
      <c r="N3">
        <v>722400</v>
      </c>
      <c r="O3" s="7">
        <f>IF(AND(Table1[[#This Row],[Clean_Shortage]]&gt;0,Table1[[#This Row],[Lead_Time_Days]]&gt;10),1,0)</f>
        <v>0</v>
      </c>
    </row>
    <row r="4" spans="1:15" hidden="1" x14ac:dyDescent="0.3">
      <c r="A4" t="s">
        <v>14</v>
      </c>
      <c r="B4" t="s">
        <v>514</v>
      </c>
      <c r="C4" t="s">
        <v>517</v>
      </c>
      <c r="D4">
        <v>93</v>
      </c>
      <c r="E4">
        <v>70</v>
      </c>
      <c r="F4">
        <v>6</v>
      </c>
      <c r="G4">
        <v>8421</v>
      </c>
      <c r="H4">
        <v>5</v>
      </c>
      <c r="I4" s="1">
        <v>44929</v>
      </c>
      <c r="J4" s="7">
        <f>Table1[[#This Row],[Required_Qty]]-Table1[[#This Row],[Available_Qty]]</f>
        <v>23</v>
      </c>
      <c r="K4" s="7">
        <v>-23</v>
      </c>
      <c r="L4" s="7">
        <f>IF(Table1[[#This Row],[Required_Qty]]&gt;Table1[[#This Row],[Available_Qty]],Table1[[#This Row],[Required_Qty]]-Table1[[#This Row],[Available_Qty]],0)</f>
        <v>23</v>
      </c>
      <c r="M4" s="7">
        <f>IF(Table1[[#This Row],[Required_Qty]]&lt;Table1[[#This Row],[Available_Qty]],Table1[[#This Row],[Available_Qty]]-Table1[[#This Row],[Required_Qty]],0)</f>
        <v>0</v>
      </c>
      <c r="N4">
        <v>50526</v>
      </c>
      <c r="O4" s="7">
        <f>IF(AND(Table1[[#This Row],[Clean_Shortage]]&gt;0,Table1[[#This Row],[Lead_Time_Days]]&gt;10),1,0)</f>
        <v>0</v>
      </c>
    </row>
    <row r="5" spans="1:15" hidden="1" x14ac:dyDescent="0.3">
      <c r="A5" t="s">
        <v>15</v>
      </c>
      <c r="B5" t="s">
        <v>512</v>
      </c>
      <c r="C5" t="s">
        <v>516</v>
      </c>
      <c r="D5">
        <v>97</v>
      </c>
      <c r="E5">
        <v>113</v>
      </c>
      <c r="F5">
        <v>28</v>
      </c>
      <c r="G5">
        <v>6016</v>
      </c>
      <c r="H5">
        <v>2</v>
      </c>
      <c r="I5" s="1">
        <v>44930</v>
      </c>
      <c r="J5" s="7">
        <f>Table1[[#This Row],[Required_Qty]]-Table1[[#This Row],[Available_Qty]]</f>
        <v>-16</v>
      </c>
      <c r="K5" s="7">
        <v>16</v>
      </c>
      <c r="L5" s="7">
        <f>IF(Table1[[#This Row],[Required_Qty]]&gt;Table1[[#This Row],[Available_Qty]],Table1[[#This Row],[Required_Qty]]-Table1[[#This Row],[Available_Qty]],0)</f>
        <v>0</v>
      </c>
      <c r="M5" s="7">
        <f>IF(Table1[[#This Row],[Required_Qty]]&lt;Table1[[#This Row],[Available_Qty]],Table1[[#This Row],[Available_Qty]]-Table1[[#This Row],[Required_Qty]],0)</f>
        <v>16</v>
      </c>
      <c r="N5">
        <v>168448</v>
      </c>
      <c r="O5" s="7">
        <f>IF(AND(Table1[[#This Row],[Clean_Shortage]]&gt;0,Table1[[#This Row],[Lead_Time_Days]]&gt;10),1,0)</f>
        <v>0</v>
      </c>
    </row>
    <row r="6" spans="1:15" hidden="1" x14ac:dyDescent="0.3">
      <c r="A6" t="s">
        <v>16</v>
      </c>
      <c r="B6" t="s">
        <v>512</v>
      </c>
      <c r="C6" t="s">
        <v>517</v>
      </c>
      <c r="D6">
        <v>78</v>
      </c>
      <c r="E6">
        <v>29</v>
      </c>
      <c r="F6">
        <v>10</v>
      </c>
      <c r="G6">
        <v>1769</v>
      </c>
      <c r="H6">
        <v>6</v>
      </c>
      <c r="I6" s="1">
        <v>44931</v>
      </c>
      <c r="J6" s="7">
        <f>Table1[[#This Row],[Required_Qty]]-Table1[[#This Row],[Available_Qty]]</f>
        <v>49</v>
      </c>
      <c r="K6" s="7">
        <v>-49</v>
      </c>
      <c r="L6" s="7">
        <f>IF(Table1[[#This Row],[Required_Qty]]&gt;Table1[[#This Row],[Available_Qty]],Table1[[#This Row],[Required_Qty]]-Table1[[#This Row],[Available_Qty]],0)</f>
        <v>49</v>
      </c>
      <c r="M6" s="7">
        <f>IF(Table1[[#This Row],[Required_Qty]]&lt;Table1[[#This Row],[Available_Qty]],Table1[[#This Row],[Available_Qty]]-Table1[[#This Row],[Required_Qty]],0)</f>
        <v>0</v>
      </c>
      <c r="N6">
        <v>17690</v>
      </c>
      <c r="O6" s="7">
        <f>IF(AND(Table1[[#This Row],[Clean_Shortage]]&gt;0,Table1[[#This Row],[Lead_Time_Days]]&gt;10),1,0)</f>
        <v>0</v>
      </c>
    </row>
    <row r="7" spans="1:15" hidden="1" x14ac:dyDescent="0.3">
      <c r="A7" t="s">
        <v>17</v>
      </c>
      <c r="B7" t="s">
        <v>513</v>
      </c>
      <c r="C7" t="s">
        <v>516</v>
      </c>
      <c r="D7">
        <v>43</v>
      </c>
      <c r="E7">
        <v>107</v>
      </c>
      <c r="F7">
        <v>32</v>
      </c>
      <c r="G7">
        <v>2343</v>
      </c>
      <c r="H7">
        <v>9</v>
      </c>
      <c r="I7" s="1">
        <v>44932</v>
      </c>
      <c r="J7" s="7">
        <f>Table1[[#This Row],[Required_Qty]]-Table1[[#This Row],[Available_Qty]]</f>
        <v>-64</v>
      </c>
      <c r="K7" s="7">
        <v>64</v>
      </c>
      <c r="L7" s="7">
        <f>IF(Table1[[#This Row],[Required_Qty]]&gt;Table1[[#This Row],[Available_Qty]],Table1[[#This Row],[Required_Qty]]-Table1[[#This Row],[Available_Qty]],0)</f>
        <v>0</v>
      </c>
      <c r="M7" s="7">
        <f>IF(Table1[[#This Row],[Required_Qty]]&lt;Table1[[#This Row],[Available_Qty]],Table1[[#This Row],[Available_Qty]]-Table1[[#This Row],[Required_Qty]],0)</f>
        <v>64</v>
      </c>
      <c r="N7">
        <v>74976</v>
      </c>
      <c r="O7" s="7">
        <f>IF(AND(Table1[[#This Row],[Clean_Shortage]]&gt;0,Table1[[#This Row],[Lead_Time_Days]]&gt;10),1,0)</f>
        <v>0</v>
      </c>
    </row>
    <row r="8" spans="1:15" hidden="1" x14ac:dyDescent="0.3">
      <c r="A8" t="s">
        <v>18</v>
      </c>
      <c r="B8" t="s">
        <v>514</v>
      </c>
      <c r="C8" t="s">
        <v>518</v>
      </c>
      <c r="D8">
        <v>15</v>
      </c>
      <c r="E8">
        <v>77</v>
      </c>
      <c r="F8">
        <v>5</v>
      </c>
      <c r="G8">
        <v>5358</v>
      </c>
      <c r="H8">
        <v>2</v>
      </c>
      <c r="I8" s="1">
        <v>44933</v>
      </c>
      <c r="J8" s="7">
        <f>Table1[[#This Row],[Required_Qty]]-Table1[[#This Row],[Available_Qty]]</f>
        <v>-62</v>
      </c>
      <c r="K8" s="7">
        <v>62</v>
      </c>
      <c r="L8" s="7">
        <f>IF(Table1[[#This Row],[Required_Qty]]&gt;Table1[[#This Row],[Available_Qty]],Table1[[#This Row],[Required_Qty]]-Table1[[#This Row],[Available_Qty]],0)</f>
        <v>0</v>
      </c>
      <c r="M8" s="7">
        <f>IF(Table1[[#This Row],[Required_Qty]]&lt;Table1[[#This Row],[Available_Qty]],Table1[[#This Row],[Available_Qty]]-Table1[[#This Row],[Required_Qty]],0)</f>
        <v>62</v>
      </c>
      <c r="N8">
        <v>26790</v>
      </c>
      <c r="O8" s="7">
        <f>IF(AND(Table1[[#This Row],[Clean_Shortage]]&gt;0,Table1[[#This Row],[Lead_Time_Days]]&gt;10),1,0)</f>
        <v>0</v>
      </c>
    </row>
    <row r="9" spans="1:15" hidden="1" x14ac:dyDescent="0.3">
      <c r="A9" t="s">
        <v>19</v>
      </c>
      <c r="B9" t="s">
        <v>514</v>
      </c>
      <c r="C9" t="s">
        <v>517</v>
      </c>
      <c r="D9">
        <v>62</v>
      </c>
      <c r="E9">
        <v>26</v>
      </c>
      <c r="F9">
        <v>78</v>
      </c>
      <c r="G9">
        <v>7780</v>
      </c>
      <c r="H9">
        <v>10</v>
      </c>
      <c r="I9" s="1">
        <v>44934</v>
      </c>
      <c r="J9" s="7">
        <f>Table1[[#This Row],[Required_Qty]]-Table1[[#This Row],[Available_Qty]]</f>
        <v>36</v>
      </c>
      <c r="K9" s="7">
        <v>-36</v>
      </c>
      <c r="L9" s="7">
        <f>IF(Table1[[#This Row],[Required_Qty]]&gt;Table1[[#This Row],[Available_Qty]],Table1[[#This Row],[Required_Qty]]-Table1[[#This Row],[Available_Qty]],0)</f>
        <v>36</v>
      </c>
      <c r="M9" s="7">
        <f>IF(Table1[[#This Row],[Required_Qty]]&lt;Table1[[#This Row],[Available_Qty]],Table1[[#This Row],[Available_Qty]]-Table1[[#This Row],[Required_Qty]],0)</f>
        <v>0</v>
      </c>
      <c r="N9">
        <v>606840</v>
      </c>
      <c r="O9" s="7">
        <f>IF(AND(Table1[[#This Row],[Clean_Shortage]]&gt;0,Table1[[#This Row],[Lead_Time_Days]]&gt;10),1,0)</f>
        <v>0</v>
      </c>
    </row>
    <row r="10" spans="1:15" hidden="1" x14ac:dyDescent="0.3">
      <c r="A10" t="s">
        <v>20</v>
      </c>
      <c r="B10" t="s">
        <v>512</v>
      </c>
      <c r="C10" t="s">
        <v>518</v>
      </c>
      <c r="D10">
        <v>75</v>
      </c>
      <c r="E10">
        <v>111</v>
      </c>
      <c r="F10">
        <v>31</v>
      </c>
      <c r="G10">
        <v>7602</v>
      </c>
      <c r="H10">
        <v>2</v>
      </c>
      <c r="I10" s="1">
        <v>44935</v>
      </c>
      <c r="J10" s="7">
        <f>Table1[[#This Row],[Required_Qty]]-Table1[[#This Row],[Available_Qty]]</f>
        <v>-36</v>
      </c>
      <c r="K10" s="7">
        <v>36</v>
      </c>
      <c r="L10" s="7">
        <f>IF(Table1[[#This Row],[Required_Qty]]&gt;Table1[[#This Row],[Available_Qty]],Table1[[#This Row],[Required_Qty]]-Table1[[#This Row],[Available_Qty]],0)</f>
        <v>0</v>
      </c>
      <c r="M10" s="7">
        <f>IF(Table1[[#This Row],[Required_Qty]]&lt;Table1[[#This Row],[Available_Qty]],Table1[[#This Row],[Available_Qty]]-Table1[[#This Row],[Required_Qty]],0)</f>
        <v>36</v>
      </c>
      <c r="N10">
        <v>235662</v>
      </c>
      <c r="O10" s="7">
        <f>IF(AND(Table1[[#This Row],[Clean_Shortage]]&gt;0,Table1[[#This Row],[Lead_Time_Days]]&gt;10),1,0)</f>
        <v>0</v>
      </c>
    </row>
    <row r="11" spans="1:15" hidden="1" x14ac:dyDescent="0.3">
      <c r="A11" t="s">
        <v>21</v>
      </c>
      <c r="B11" t="s">
        <v>515</v>
      </c>
      <c r="C11" t="s">
        <v>516</v>
      </c>
      <c r="D11">
        <v>86</v>
      </c>
      <c r="E11">
        <v>114</v>
      </c>
      <c r="F11">
        <v>50</v>
      </c>
      <c r="G11">
        <v>3349</v>
      </c>
      <c r="H11">
        <v>3</v>
      </c>
      <c r="I11" s="1">
        <v>44936</v>
      </c>
      <c r="J11" s="7">
        <f>Table1[[#This Row],[Required_Qty]]-Table1[[#This Row],[Available_Qty]]</f>
        <v>-28</v>
      </c>
      <c r="K11" s="7">
        <v>28</v>
      </c>
      <c r="L11" s="7">
        <f>IF(Table1[[#This Row],[Required_Qty]]&gt;Table1[[#This Row],[Available_Qty]],Table1[[#This Row],[Required_Qty]]-Table1[[#This Row],[Available_Qty]],0)</f>
        <v>0</v>
      </c>
      <c r="M11" s="7">
        <f>IF(Table1[[#This Row],[Required_Qty]]&lt;Table1[[#This Row],[Available_Qty]],Table1[[#This Row],[Available_Qty]]-Table1[[#This Row],[Required_Qty]],0)</f>
        <v>28</v>
      </c>
      <c r="N11">
        <v>167450</v>
      </c>
      <c r="O11" s="7">
        <f>IF(AND(Table1[[#This Row],[Clean_Shortage]]&gt;0,Table1[[#This Row],[Lead_Time_Days]]&gt;10),1,0)</f>
        <v>0</v>
      </c>
    </row>
    <row r="12" spans="1:15" x14ac:dyDescent="0.3">
      <c r="A12" t="s">
        <v>22</v>
      </c>
      <c r="B12" t="s">
        <v>512</v>
      </c>
      <c r="C12" t="s">
        <v>518</v>
      </c>
      <c r="D12">
        <v>52</v>
      </c>
      <c r="E12">
        <v>8</v>
      </c>
      <c r="F12">
        <v>74</v>
      </c>
      <c r="G12">
        <v>6699</v>
      </c>
      <c r="H12">
        <v>13</v>
      </c>
      <c r="I12" s="1">
        <v>44937</v>
      </c>
      <c r="J12" s="7">
        <f>Table1[[#This Row],[Required_Qty]]-Table1[[#This Row],[Available_Qty]]</f>
        <v>44</v>
      </c>
      <c r="K12" s="7">
        <v>-44</v>
      </c>
      <c r="L12" s="7">
        <f>IF(Table1[[#This Row],[Required_Qty]]&gt;Table1[[#This Row],[Available_Qty]],Table1[[#This Row],[Required_Qty]]-Table1[[#This Row],[Available_Qty]],0)</f>
        <v>44</v>
      </c>
      <c r="M12" s="7">
        <f>IF(Table1[[#This Row],[Required_Qty]]&lt;Table1[[#This Row],[Available_Qty]],Table1[[#This Row],[Available_Qty]]-Table1[[#This Row],[Required_Qty]],0)</f>
        <v>0</v>
      </c>
      <c r="N12">
        <v>495726</v>
      </c>
      <c r="O12" s="7">
        <f>IF(AND(Table1[[#This Row],[Clean_Shortage]]&gt;0,Table1[[#This Row],[Lead_Time_Days]]&gt;10),1,0)</f>
        <v>1</v>
      </c>
    </row>
    <row r="13" spans="1:15" hidden="1" x14ac:dyDescent="0.3">
      <c r="A13" t="s">
        <v>23</v>
      </c>
      <c r="B13" t="s">
        <v>512</v>
      </c>
      <c r="C13" t="s">
        <v>518</v>
      </c>
      <c r="D13">
        <v>84</v>
      </c>
      <c r="E13">
        <v>30</v>
      </c>
      <c r="F13">
        <v>57</v>
      </c>
      <c r="G13">
        <v>2241</v>
      </c>
      <c r="H13">
        <v>7</v>
      </c>
      <c r="I13" s="1">
        <v>44938</v>
      </c>
      <c r="J13" s="7">
        <f>Table1[[#This Row],[Required_Qty]]-Table1[[#This Row],[Available_Qty]]</f>
        <v>54</v>
      </c>
      <c r="K13" s="7">
        <v>-54</v>
      </c>
      <c r="L13" s="7">
        <f>IF(Table1[[#This Row],[Required_Qty]]&gt;Table1[[#This Row],[Available_Qty]],Table1[[#This Row],[Required_Qty]]-Table1[[#This Row],[Available_Qty]],0)</f>
        <v>54</v>
      </c>
      <c r="M13" s="7">
        <f>IF(Table1[[#This Row],[Required_Qty]]&lt;Table1[[#This Row],[Available_Qty]],Table1[[#This Row],[Available_Qty]]-Table1[[#This Row],[Required_Qty]],0)</f>
        <v>0</v>
      </c>
      <c r="N13">
        <v>127737</v>
      </c>
      <c r="O13" s="7">
        <f>IF(AND(Table1[[#This Row],[Clean_Shortage]]&gt;0,Table1[[#This Row],[Lead_Time_Days]]&gt;10),1,0)</f>
        <v>0</v>
      </c>
    </row>
    <row r="14" spans="1:15" hidden="1" x14ac:dyDescent="0.3">
      <c r="A14" t="s">
        <v>24</v>
      </c>
      <c r="B14" t="s">
        <v>512</v>
      </c>
      <c r="C14" t="s">
        <v>516</v>
      </c>
      <c r="D14">
        <v>32</v>
      </c>
      <c r="E14">
        <v>62</v>
      </c>
      <c r="F14">
        <v>25</v>
      </c>
      <c r="G14">
        <v>2125</v>
      </c>
      <c r="H14">
        <v>6</v>
      </c>
      <c r="I14" s="1">
        <v>44939</v>
      </c>
      <c r="J14" s="7">
        <f>Table1[[#This Row],[Required_Qty]]-Table1[[#This Row],[Available_Qty]]</f>
        <v>-30</v>
      </c>
      <c r="K14" s="7">
        <v>30</v>
      </c>
      <c r="L14" s="7">
        <f>IF(Table1[[#This Row],[Required_Qty]]&gt;Table1[[#This Row],[Available_Qty]],Table1[[#This Row],[Required_Qty]]-Table1[[#This Row],[Available_Qty]],0)</f>
        <v>0</v>
      </c>
      <c r="M14" s="7">
        <f>IF(Table1[[#This Row],[Required_Qty]]&lt;Table1[[#This Row],[Available_Qty]],Table1[[#This Row],[Available_Qty]]-Table1[[#This Row],[Required_Qty]],0)</f>
        <v>30</v>
      </c>
      <c r="N14">
        <v>53125</v>
      </c>
      <c r="O14" s="7">
        <f>IF(AND(Table1[[#This Row],[Clean_Shortage]]&gt;0,Table1[[#This Row],[Lead_Time_Days]]&gt;10),1,0)</f>
        <v>0</v>
      </c>
    </row>
    <row r="15" spans="1:15" x14ac:dyDescent="0.3">
      <c r="A15" t="s">
        <v>25</v>
      </c>
      <c r="B15" t="s">
        <v>512</v>
      </c>
      <c r="C15" t="s">
        <v>518</v>
      </c>
      <c r="D15">
        <v>64</v>
      </c>
      <c r="E15">
        <v>33</v>
      </c>
      <c r="F15">
        <v>45</v>
      </c>
      <c r="G15">
        <v>7764</v>
      </c>
      <c r="H15">
        <v>12</v>
      </c>
      <c r="I15" s="1">
        <v>44940</v>
      </c>
      <c r="J15" s="7">
        <f>Table1[[#This Row],[Required_Qty]]-Table1[[#This Row],[Available_Qty]]</f>
        <v>31</v>
      </c>
      <c r="K15" s="7">
        <v>-31</v>
      </c>
      <c r="L15" s="7">
        <f>IF(Table1[[#This Row],[Required_Qty]]&gt;Table1[[#This Row],[Available_Qty]],Table1[[#This Row],[Required_Qty]]-Table1[[#This Row],[Available_Qty]],0)</f>
        <v>31</v>
      </c>
      <c r="M15" s="7">
        <f>IF(Table1[[#This Row],[Required_Qty]]&lt;Table1[[#This Row],[Available_Qty]],Table1[[#This Row],[Available_Qty]]-Table1[[#This Row],[Required_Qty]],0)</f>
        <v>0</v>
      </c>
      <c r="N15">
        <v>349380</v>
      </c>
      <c r="O15" s="7">
        <f>IF(AND(Table1[[#This Row],[Clean_Shortage]]&gt;0,Table1[[#This Row],[Lead_Time_Days]]&gt;10),1,0)</f>
        <v>1</v>
      </c>
    </row>
    <row r="16" spans="1:15" hidden="1" x14ac:dyDescent="0.3">
      <c r="A16" t="s">
        <v>26</v>
      </c>
      <c r="B16" t="s">
        <v>513</v>
      </c>
      <c r="C16" t="s">
        <v>518</v>
      </c>
      <c r="D16">
        <v>89</v>
      </c>
      <c r="E16">
        <v>113</v>
      </c>
      <c r="F16">
        <v>28</v>
      </c>
      <c r="G16">
        <v>6101</v>
      </c>
      <c r="H16">
        <v>8</v>
      </c>
      <c r="I16" s="1">
        <v>44941</v>
      </c>
      <c r="J16" s="7">
        <f>Table1[[#This Row],[Required_Qty]]-Table1[[#This Row],[Available_Qty]]</f>
        <v>-24</v>
      </c>
      <c r="K16" s="7">
        <v>24</v>
      </c>
      <c r="L16" s="7">
        <f>IF(Table1[[#This Row],[Required_Qty]]&gt;Table1[[#This Row],[Available_Qty]],Table1[[#This Row],[Required_Qty]]-Table1[[#This Row],[Available_Qty]],0)</f>
        <v>0</v>
      </c>
      <c r="M16" s="7">
        <f>IF(Table1[[#This Row],[Required_Qty]]&lt;Table1[[#This Row],[Available_Qty]],Table1[[#This Row],[Available_Qty]]-Table1[[#This Row],[Required_Qty]],0)</f>
        <v>24</v>
      </c>
      <c r="N16">
        <v>170828</v>
      </c>
      <c r="O16" s="7">
        <f>IF(AND(Table1[[#This Row],[Clean_Shortage]]&gt;0,Table1[[#This Row],[Lead_Time_Days]]&gt;10),1,0)</f>
        <v>0</v>
      </c>
    </row>
    <row r="17" spans="1:15" hidden="1" x14ac:dyDescent="0.3">
      <c r="A17" t="s">
        <v>27</v>
      </c>
      <c r="B17" t="s">
        <v>514</v>
      </c>
      <c r="C17" t="s">
        <v>516</v>
      </c>
      <c r="D17">
        <v>84</v>
      </c>
      <c r="E17">
        <v>102</v>
      </c>
      <c r="F17">
        <v>3</v>
      </c>
      <c r="G17">
        <v>8843</v>
      </c>
      <c r="H17">
        <v>8</v>
      </c>
      <c r="I17" s="1">
        <v>44942</v>
      </c>
      <c r="J17" s="7">
        <f>Table1[[#This Row],[Required_Qty]]-Table1[[#This Row],[Available_Qty]]</f>
        <v>-18</v>
      </c>
      <c r="K17" s="7">
        <v>18</v>
      </c>
      <c r="L17" s="7">
        <f>IF(Table1[[#This Row],[Required_Qty]]&gt;Table1[[#This Row],[Available_Qty]],Table1[[#This Row],[Required_Qty]]-Table1[[#This Row],[Available_Qty]],0)</f>
        <v>0</v>
      </c>
      <c r="M17" s="7">
        <f>IF(Table1[[#This Row],[Required_Qty]]&lt;Table1[[#This Row],[Available_Qty]],Table1[[#This Row],[Available_Qty]]-Table1[[#This Row],[Required_Qty]],0)</f>
        <v>18</v>
      </c>
      <c r="N17">
        <v>26529</v>
      </c>
      <c r="O17" s="7">
        <f>IF(AND(Table1[[#This Row],[Clean_Shortage]]&gt;0,Table1[[#This Row],[Lead_Time_Days]]&gt;10),1,0)</f>
        <v>0</v>
      </c>
    </row>
    <row r="18" spans="1:15" hidden="1" x14ac:dyDescent="0.3">
      <c r="A18" t="s">
        <v>28</v>
      </c>
      <c r="B18" t="s">
        <v>513</v>
      </c>
      <c r="C18" t="s">
        <v>518</v>
      </c>
      <c r="D18">
        <v>25</v>
      </c>
      <c r="E18">
        <v>91</v>
      </c>
      <c r="F18">
        <v>12</v>
      </c>
      <c r="G18">
        <v>1072</v>
      </c>
      <c r="H18">
        <v>6</v>
      </c>
      <c r="I18" s="1">
        <v>44943</v>
      </c>
      <c r="J18" s="7">
        <f>Table1[[#This Row],[Required_Qty]]-Table1[[#This Row],[Available_Qty]]</f>
        <v>-66</v>
      </c>
      <c r="K18" s="7">
        <v>66</v>
      </c>
      <c r="L18" s="7">
        <f>IF(Table1[[#This Row],[Required_Qty]]&gt;Table1[[#This Row],[Available_Qty]],Table1[[#This Row],[Required_Qty]]-Table1[[#This Row],[Available_Qty]],0)</f>
        <v>0</v>
      </c>
      <c r="M18" s="7">
        <f>IF(Table1[[#This Row],[Required_Qty]]&lt;Table1[[#This Row],[Available_Qty]],Table1[[#This Row],[Available_Qty]]-Table1[[#This Row],[Required_Qty]],0)</f>
        <v>66</v>
      </c>
      <c r="N18">
        <v>12864</v>
      </c>
      <c r="O18" s="7">
        <f>IF(AND(Table1[[#This Row],[Clean_Shortage]]&gt;0,Table1[[#This Row],[Lead_Time_Days]]&gt;10),1,0)</f>
        <v>0</v>
      </c>
    </row>
    <row r="19" spans="1:15" hidden="1" x14ac:dyDescent="0.3">
      <c r="A19" t="s">
        <v>29</v>
      </c>
      <c r="B19" t="s">
        <v>513</v>
      </c>
      <c r="C19" t="s">
        <v>516</v>
      </c>
      <c r="D19">
        <v>17</v>
      </c>
      <c r="E19">
        <v>41</v>
      </c>
      <c r="F19">
        <v>38</v>
      </c>
      <c r="G19">
        <v>6472</v>
      </c>
      <c r="H19">
        <v>12</v>
      </c>
      <c r="I19" s="1">
        <v>44944</v>
      </c>
      <c r="J19" s="7">
        <f>Table1[[#This Row],[Required_Qty]]-Table1[[#This Row],[Available_Qty]]</f>
        <v>-24</v>
      </c>
      <c r="K19" s="7">
        <v>24</v>
      </c>
      <c r="L19" s="7">
        <f>IF(Table1[[#This Row],[Required_Qty]]&gt;Table1[[#This Row],[Available_Qty]],Table1[[#This Row],[Required_Qty]]-Table1[[#This Row],[Available_Qty]],0)</f>
        <v>0</v>
      </c>
      <c r="M19" s="7">
        <f>IF(Table1[[#This Row],[Required_Qty]]&lt;Table1[[#This Row],[Available_Qty]],Table1[[#This Row],[Available_Qty]]-Table1[[#This Row],[Required_Qty]],0)</f>
        <v>24</v>
      </c>
      <c r="N19">
        <v>245936</v>
      </c>
      <c r="O19" s="7">
        <f>IF(AND(Table1[[#This Row],[Clean_Shortage]]&gt;0,Table1[[#This Row],[Lead_Time_Days]]&gt;10),1,0)</f>
        <v>0</v>
      </c>
    </row>
    <row r="20" spans="1:15" hidden="1" x14ac:dyDescent="0.3">
      <c r="A20" t="s">
        <v>30</v>
      </c>
      <c r="B20" t="s">
        <v>513</v>
      </c>
      <c r="C20" t="s">
        <v>518</v>
      </c>
      <c r="D20">
        <v>13</v>
      </c>
      <c r="E20">
        <v>79</v>
      </c>
      <c r="F20">
        <v>14</v>
      </c>
      <c r="G20">
        <v>6189</v>
      </c>
      <c r="H20">
        <v>11</v>
      </c>
      <c r="I20" s="1">
        <v>44945</v>
      </c>
      <c r="J20" s="7">
        <f>Table1[[#This Row],[Required_Qty]]-Table1[[#This Row],[Available_Qty]]</f>
        <v>-66</v>
      </c>
      <c r="K20" s="7">
        <v>66</v>
      </c>
      <c r="L20" s="7">
        <f>IF(Table1[[#This Row],[Required_Qty]]&gt;Table1[[#This Row],[Available_Qty]],Table1[[#This Row],[Required_Qty]]-Table1[[#This Row],[Available_Qty]],0)</f>
        <v>0</v>
      </c>
      <c r="M20" s="7">
        <f>IF(Table1[[#This Row],[Required_Qty]]&lt;Table1[[#This Row],[Available_Qty]],Table1[[#This Row],[Available_Qty]]-Table1[[#This Row],[Required_Qty]],0)</f>
        <v>66</v>
      </c>
      <c r="N20">
        <v>86646</v>
      </c>
      <c r="O20" s="7">
        <f>IF(AND(Table1[[#This Row],[Clean_Shortage]]&gt;0,Table1[[#This Row],[Lead_Time_Days]]&gt;10),1,0)</f>
        <v>0</v>
      </c>
    </row>
    <row r="21" spans="1:15" hidden="1" x14ac:dyDescent="0.3">
      <c r="A21" t="s">
        <v>31</v>
      </c>
      <c r="B21" t="s">
        <v>512</v>
      </c>
      <c r="C21" t="s">
        <v>516</v>
      </c>
      <c r="D21">
        <v>13</v>
      </c>
      <c r="E21">
        <v>74</v>
      </c>
      <c r="F21">
        <v>28</v>
      </c>
      <c r="G21">
        <v>3472</v>
      </c>
      <c r="H21">
        <v>10</v>
      </c>
      <c r="I21" s="1">
        <v>44946</v>
      </c>
      <c r="J21" s="7">
        <f>Table1[[#This Row],[Required_Qty]]-Table1[[#This Row],[Available_Qty]]</f>
        <v>-61</v>
      </c>
      <c r="K21" s="7">
        <v>61</v>
      </c>
      <c r="L21" s="7">
        <f>IF(Table1[[#This Row],[Required_Qty]]&gt;Table1[[#This Row],[Available_Qty]],Table1[[#This Row],[Required_Qty]]-Table1[[#This Row],[Available_Qty]],0)</f>
        <v>0</v>
      </c>
      <c r="M21" s="7">
        <f>IF(Table1[[#This Row],[Required_Qty]]&lt;Table1[[#This Row],[Available_Qty]],Table1[[#This Row],[Available_Qty]]-Table1[[#This Row],[Required_Qty]],0)</f>
        <v>61</v>
      </c>
      <c r="N21">
        <v>97216</v>
      </c>
      <c r="O21" s="7">
        <f>IF(AND(Table1[[#This Row],[Clean_Shortage]]&gt;0,Table1[[#This Row],[Lead_Time_Days]]&gt;10),1,0)</f>
        <v>0</v>
      </c>
    </row>
    <row r="22" spans="1:15" hidden="1" x14ac:dyDescent="0.3">
      <c r="A22" t="s">
        <v>32</v>
      </c>
      <c r="B22" t="s">
        <v>515</v>
      </c>
      <c r="C22" t="s">
        <v>516</v>
      </c>
      <c r="D22">
        <v>65</v>
      </c>
      <c r="E22">
        <v>22</v>
      </c>
      <c r="F22">
        <v>28</v>
      </c>
      <c r="G22">
        <v>1707</v>
      </c>
      <c r="H22">
        <v>3</v>
      </c>
      <c r="I22" s="1">
        <v>44947</v>
      </c>
      <c r="J22" s="7">
        <f>Table1[[#This Row],[Required_Qty]]-Table1[[#This Row],[Available_Qty]]</f>
        <v>43</v>
      </c>
      <c r="K22" s="7">
        <v>-43</v>
      </c>
      <c r="L22" s="7">
        <f>IF(Table1[[#This Row],[Required_Qty]]&gt;Table1[[#This Row],[Available_Qty]],Table1[[#This Row],[Required_Qty]]-Table1[[#This Row],[Available_Qty]],0)</f>
        <v>43</v>
      </c>
      <c r="M22" s="7">
        <f>IF(Table1[[#This Row],[Required_Qty]]&lt;Table1[[#This Row],[Available_Qty]],Table1[[#This Row],[Available_Qty]]-Table1[[#This Row],[Required_Qty]],0)</f>
        <v>0</v>
      </c>
      <c r="N22">
        <v>47796</v>
      </c>
      <c r="O22" s="7">
        <f>IF(AND(Table1[[#This Row],[Clean_Shortage]]&gt;0,Table1[[#This Row],[Lead_Time_Days]]&gt;10),1,0)</f>
        <v>0</v>
      </c>
    </row>
    <row r="23" spans="1:15" hidden="1" x14ac:dyDescent="0.3">
      <c r="A23" t="s">
        <v>33</v>
      </c>
      <c r="B23" t="s">
        <v>514</v>
      </c>
      <c r="C23" t="s">
        <v>518</v>
      </c>
      <c r="D23">
        <v>34</v>
      </c>
      <c r="E23">
        <v>89</v>
      </c>
      <c r="F23">
        <v>74</v>
      </c>
      <c r="G23">
        <v>2804</v>
      </c>
      <c r="H23">
        <v>3</v>
      </c>
      <c r="I23" s="1">
        <v>44948</v>
      </c>
      <c r="J23" s="7">
        <f>Table1[[#This Row],[Required_Qty]]-Table1[[#This Row],[Available_Qty]]</f>
        <v>-55</v>
      </c>
      <c r="K23" s="7">
        <v>55</v>
      </c>
      <c r="L23" s="7">
        <f>IF(Table1[[#This Row],[Required_Qty]]&gt;Table1[[#This Row],[Available_Qty]],Table1[[#This Row],[Required_Qty]]-Table1[[#This Row],[Available_Qty]],0)</f>
        <v>0</v>
      </c>
      <c r="M23" s="7">
        <f>IF(Table1[[#This Row],[Required_Qty]]&lt;Table1[[#This Row],[Available_Qty]],Table1[[#This Row],[Available_Qty]]-Table1[[#This Row],[Required_Qty]],0)</f>
        <v>55</v>
      </c>
      <c r="N23">
        <v>207496</v>
      </c>
      <c r="O23" s="7">
        <f>IF(AND(Table1[[#This Row],[Clean_Shortage]]&gt;0,Table1[[#This Row],[Lead_Time_Days]]&gt;10),1,0)</f>
        <v>0</v>
      </c>
    </row>
    <row r="24" spans="1:15" hidden="1" x14ac:dyDescent="0.3">
      <c r="A24" t="s">
        <v>34</v>
      </c>
      <c r="B24" t="s">
        <v>515</v>
      </c>
      <c r="C24" t="s">
        <v>518</v>
      </c>
      <c r="D24">
        <v>76</v>
      </c>
      <c r="E24">
        <v>46</v>
      </c>
      <c r="F24">
        <v>31</v>
      </c>
      <c r="G24">
        <v>7704</v>
      </c>
      <c r="H24">
        <v>1</v>
      </c>
      <c r="I24" s="1">
        <v>44949</v>
      </c>
      <c r="J24" s="7">
        <f>Table1[[#This Row],[Required_Qty]]-Table1[[#This Row],[Available_Qty]]</f>
        <v>30</v>
      </c>
      <c r="K24" s="7">
        <v>-30</v>
      </c>
      <c r="L24" s="7">
        <f>IF(Table1[[#This Row],[Required_Qty]]&gt;Table1[[#This Row],[Available_Qty]],Table1[[#This Row],[Required_Qty]]-Table1[[#This Row],[Available_Qty]],0)</f>
        <v>30</v>
      </c>
      <c r="M24" s="7">
        <f>IF(Table1[[#This Row],[Required_Qty]]&lt;Table1[[#This Row],[Available_Qty]],Table1[[#This Row],[Available_Qty]]-Table1[[#This Row],[Required_Qty]],0)</f>
        <v>0</v>
      </c>
      <c r="N24">
        <v>238824</v>
      </c>
      <c r="O24" s="7">
        <f>IF(AND(Table1[[#This Row],[Clean_Shortage]]&gt;0,Table1[[#This Row],[Lead_Time_Days]]&gt;10),1,0)</f>
        <v>0</v>
      </c>
    </row>
    <row r="25" spans="1:15" hidden="1" x14ac:dyDescent="0.3">
      <c r="A25" t="s">
        <v>35</v>
      </c>
      <c r="B25" t="s">
        <v>513</v>
      </c>
      <c r="C25" t="s">
        <v>518</v>
      </c>
      <c r="D25">
        <v>76</v>
      </c>
      <c r="E25">
        <v>104</v>
      </c>
      <c r="F25">
        <v>1</v>
      </c>
      <c r="G25">
        <v>4713</v>
      </c>
      <c r="H25">
        <v>7</v>
      </c>
      <c r="I25" s="1">
        <v>44950</v>
      </c>
      <c r="J25" s="7">
        <f>Table1[[#This Row],[Required_Qty]]-Table1[[#This Row],[Available_Qty]]</f>
        <v>-28</v>
      </c>
      <c r="K25" s="7">
        <v>28</v>
      </c>
      <c r="L25" s="7">
        <f>IF(Table1[[#This Row],[Required_Qty]]&gt;Table1[[#This Row],[Available_Qty]],Table1[[#This Row],[Required_Qty]]-Table1[[#This Row],[Available_Qty]],0)</f>
        <v>0</v>
      </c>
      <c r="M25" s="7">
        <f>IF(Table1[[#This Row],[Required_Qty]]&lt;Table1[[#This Row],[Available_Qty]],Table1[[#This Row],[Available_Qty]]-Table1[[#This Row],[Required_Qty]],0)</f>
        <v>28</v>
      </c>
      <c r="N25">
        <v>4713</v>
      </c>
      <c r="O25" s="7">
        <f>IF(AND(Table1[[#This Row],[Clean_Shortage]]&gt;0,Table1[[#This Row],[Lead_Time_Days]]&gt;10),1,0)</f>
        <v>0</v>
      </c>
    </row>
    <row r="26" spans="1:15" hidden="1" x14ac:dyDescent="0.3">
      <c r="A26" t="s">
        <v>36</v>
      </c>
      <c r="B26" t="s">
        <v>513</v>
      </c>
      <c r="C26" t="s">
        <v>517</v>
      </c>
      <c r="D26">
        <v>36</v>
      </c>
      <c r="E26">
        <v>45</v>
      </c>
      <c r="F26">
        <v>46</v>
      </c>
      <c r="G26">
        <v>6051</v>
      </c>
      <c r="H26">
        <v>5</v>
      </c>
      <c r="I26" s="1">
        <v>44951</v>
      </c>
      <c r="J26" s="7">
        <f>Table1[[#This Row],[Required_Qty]]-Table1[[#This Row],[Available_Qty]]</f>
        <v>-9</v>
      </c>
      <c r="K26" s="7">
        <v>9</v>
      </c>
      <c r="L26" s="7">
        <f>IF(Table1[[#This Row],[Required_Qty]]&gt;Table1[[#This Row],[Available_Qty]],Table1[[#This Row],[Required_Qty]]-Table1[[#This Row],[Available_Qty]],0)</f>
        <v>0</v>
      </c>
      <c r="M26" s="7">
        <f>IF(Table1[[#This Row],[Required_Qty]]&lt;Table1[[#This Row],[Available_Qty]],Table1[[#This Row],[Available_Qty]]-Table1[[#This Row],[Required_Qty]],0)</f>
        <v>9</v>
      </c>
      <c r="N26">
        <v>278346</v>
      </c>
      <c r="O26" s="7">
        <f>IF(AND(Table1[[#This Row],[Clean_Shortage]]&gt;0,Table1[[#This Row],[Lead_Time_Days]]&gt;10),1,0)</f>
        <v>0</v>
      </c>
    </row>
    <row r="27" spans="1:15" hidden="1" x14ac:dyDescent="0.3">
      <c r="A27" t="s">
        <v>37</v>
      </c>
      <c r="B27" t="s">
        <v>515</v>
      </c>
      <c r="C27" t="s">
        <v>517</v>
      </c>
      <c r="D27">
        <v>41</v>
      </c>
      <c r="E27">
        <v>42</v>
      </c>
      <c r="F27">
        <v>77</v>
      </c>
      <c r="G27">
        <v>3475</v>
      </c>
      <c r="H27">
        <v>4</v>
      </c>
      <c r="I27" s="1">
        <v>44952</v>
      </c>
      <c r="J27" s="7">
        <f>Table1[[#This Row],[Required_Qty]]-Table1[[#This Row],[Available_Qty]]</f>
        <v>-1</v>
      </c>
      <c r="K27" s="7">
        <v>1</v>
      </c>
      <c r="L27" s="7">
        <f>IF(Table1[[#This Row],[Required_Qty]]&gt;Table1[[#This Row],[Available_Qty]],Table1[[#This Row],[Required_Qty]]-Table1[[#This Row],[Available_Qty]],0)</f>
        <v>0</v>
      </c>
      <c r="M27" s="7">
        <f>IF(Table1[[#This Row],[Required_Qty]]&lt;Table1[[#This Row],[Available_Qty]],Table1[[#This Row],[Available_Qty]]-Table1[[#This Row],[Required_Qty]],0)</f>
        <v>1</v>
      </c>
      <c r="N27">
        <v>267575</v>
      </c>
      <c r="O27" s="7">
        <f>IF(AND(Table1[[#This Row],[Clean_Shortage]]&gt;0,Table1[[#This Row],[Lead_Time_Days]]&gt;10),1,0)</f>
        <v>0</v>
      </c>
    </row>
    <row r="28" spans="1:15" hidden="1" x14ac:dyDescent="0.3">
      <c r="A28" t="s">
        <v>38</v>
      </c>
      <c r="B28" t="s">
        <v>515</v>
      </c>
      <c r="C28" t="s">
        <v>517</v>
      </c>
      <c r="D28">
        <v>59</v>
      </c>
      <c r="E28">
        <v>38</v>
      </c>
      <c r="F28">
        <v>21</v>
      </c>
      <c r="G28">
        <v>4610</v>
      </c>
      <c r="H28">
        <v>10</v>
      </c>
      <c r="I28" s="1">
        <v>44953</v>
      </c>
      <c r="J28" s="7">
        <f>Table1[[#This Row],[Required_Qty]]-Table1[[#This Row],[Available_Qty]]</f>
        <v>21</v>
      </c>
      <c r="K28" s="7">
        <v>-21</v>
      </c>
      <c r="L28" s="7">
        <f>IF(Table1[[#This Row],[Required_Qty]]&gt;Table1[[#This Row],[Available_Qty]],Table1[[#This Row],[Required_Qty]]-Table1[[#This Row],[Available_Qty]],0)</f>
        <v>21</v>
      </c>
      <c r="M28" s="7">
        <f>IF(Table1[[#This Row],[Required_Qty]]&lt;Table1[[#This Row],[Available_Qty]],Table1[[#This Row],[Available_Qty]]-Table1[[#This Row],[Required_Qty]],0)</f>
        <v>0</v>
      </c>
      <c r="N28">
        <v>96810</v>
      </c>
      <c r="O28" s="7">
        <f>IF(AND(Table1[[#This Row],[Clean_Shortage]]&gt;0,Table1[[#This Row],[Lead_Time_Days]]&gt;10),1,0)</f>
        <v>0</v>
      </c>
    </row>
    <row r="29" spans="1:15" hidden="1" x14ac:dyDescent="0.3">
      <c r="A29" t="s">
        <v>39</v>
      </c>
      <c r="B29" t="s">
        <v>515</v>
      </c>
      <c r="C29" t="s">
        <v>516</v>
      </c>
      <c r="D29">
        <v>70</v>
      </c>
      <c r="E29">
        <v>21</v>
      </c>
      <c r="F29">
        <v>74</v>
      </c>
      <c r="G29">
        <v>5255</v>
      </c>
      <c r="H29">
        <v>4</v>
      </c>
      <c r="I29" s="1">
        <v>44954</v>
      </c>
      <c r="J29" s="7">
        <f>Table1[[#This Row],[Required_Qty]]-Table1[[#This Row],[Available_Qty]]</f>
        <v>49</v>
      </c>
      <c r="K29" s="7">
        <v>-49</v>
      </c>
      <c r="L29" s="7">
        <f>IF(Table1[[#This Row],[Required_Qty]]&gt;Table1[[#This Row],[Available_Qty]],Table1[[#This Row],[Required_Qty]]-Table1[[#This Row],[Available_Qty]],0)</f>
        <v>49</v>
      </c>
      <c r="M29" s="7">
        <f>IF(Table1[[#This Row],[Required_Qty]]&lt;Table1[[#This Row],[Available_Qty]],Table1[[#This Row],[Available_Qty]]-Table1[[#This Row],[Required_Qty]],0)</f>
        <v>0</v>
      </c>
      <c r="N29">
        <v>388870</v>
      </c>
      <c r="O29" s="7">
        <f>IF(AND(Table1[[#This Row],[Clean_Shortage]]&gt;0,Table1[[#This Row],[Lead_Time_Days]]&gt;10),1,0)</f>
        <v>0</v>
      </c>
    </row>
    <row r="30" spans="1:15" x14ac:dyDescent="0.3">
      <c r="A30" t="s">
        <v>40</v>
      </c>
      <c r="B30" t="s">
        <v>513</v>
      </c>
      <c r="C30" t="s">
        <v>518</v>
      </c>
      <c r="D30">
        <v>60</v>
      </c>
      <c r="E30">
        <v>41</v>
      </c>
      <c r="F30">
        <v>26</v>
      </c>
      <c r="G30">
        <v>8397</v>
      </c>
      <c r="H30">
        <v>14</v>
      </c>
      <c r="I30" s="1">
        <v>44955</v>
      </c>
      <c r="J30" s="7">
        <f>Table1[[#This Row],[Required_Qty]]-Table1[[#This Row],[Available_Qty]]</f>
        <v>19</v>
      </c>
      <c r="K30" s="7">
        <v>-19</v>
      </c>
      <c r="L30" s="7">
        <f>IF(Table1[[#This Row],[Required_Qty]]&gt;Table1[[#This Row],[Available_Qty]],Table1[[#This Row],[Required_Qty]]-Table1[[#This Row],[Available_Qty]],0)</f>
        <v>19</v>
      </c>
      <c r="M30" s="7">
        <f>IF(Table1[[#This Row],[Required_Qty]]&lt;Table1[[#This Row],[Available_Qty]],Table1[[#This Row],[Available_Qty]]-Table1[[#This Row],[Required_Qty]],0)</f>
        <v>0</v>
      </c>
      <c r="N30">
        <v>218322</v>
      </c>
      <c r="O30" s="7">
        <f>IF(AND(Table1[[#This Row],[Clean_Shortage]]&gt;0,Table1[[#This Row],[Lead_Time_Days]]&gt;10),1,0)</f>
        <v>1</v>
      </c>
    </row>
    <row r="31" spans="1:15" hidden="1" x14ac:dyDescent="0.3">
      <c r="A31" t="s">
        <v>41</v>
      </c>
      <c r="B31" t="s">
        <v>513</v>
      </c>
      <c r="C31" t="s">
        <v>516</v>
      </c>
      <c r="D31">
        <v>28</v>
      </c>
      <c r="E31">
        <v>29</v>
      </c>
      <c r="F31">
        <v>66</v>
      </c>
      <c r="G31">
        <v>2735</v>
      </c>
      <c r="H31">
        <v>4</v>
      </c>
      <c r="I31" s="1">
        <v>44956</v>
      </c>
      <c r="J31" s="7">
        <f>Table1[[#This Row],[Required_Qty]]-Table1[[#This Row],[Available_Qty]]</f>
        <v>-1</v>
      </c>
      <c r="K31" s="7">
        <v>1</v>
      </c>
      <c r="L31" s="7">
        <f>IF(Table1[[#This Row],[Required_Qty]]&gt;Table1[[#This Row],[Available_Qty]],Table1[[#This Row],[Required_Qty]]-Table1[[#This Row],[Available_Qty]],0)</f>
        <v>0</v>
      </c>
      <c r="M31" s="7">
        <f>IF(Table1[[#This Row],[Required_Qty]]&lt;Table1[[#This Row],[Available_Qty]],Table1[[#This Row],[Available_Qty]]-Table1[[#This Row],[Required_Qty]],0)</f>
        <v>1</v>
      </c>
      <c r="N31">
        <v>180510</v>
      </c>
      <c r="O31" s="7">
        <f>IF(AND(Table1[[#This Row],[Clean_Shortage]]&gt;0,Table1[[#This Row],[Lead_Time_Days]]&gt;10),1,0)</f>
        <v>0</v>
      </c>
    </row>
    <row r="32" spans="1:15" hidden="1" x14ac:dyDescent="0.3">
      <c r="A32" t="s">
        <v>42</v>
      </c>
      <c r="B32" t="s">
        <v>514</v>
      </c>
      <c r="C32" t="s">
        <v>517</v>
      </c>
      <c r="D32">
        <v>30</v>
      </c>
      <c r="E32">
        <v>106</v>
      </c>
      <c r="F32">
        <v>55</v>
      </c>
      <c r="G32">
        <v>9258</v>
      </c>
      <c r="H32">
        <v>6</v>
      </c>
      <c r="I32" s="1">
        <v>44957</v>
      </c>
      <c r="J32" s="7">
        <f>Table1[[#This Row],[Required_Qty]]-Table1[[#This Row],[Available_Qty]]</f>
        <v>-76</v>
      </c>
      <c r="K32" s="7">
        <v>76</v>
      </c>
      <c r="L32" s="7">
        <f>IF(Table1[[#This Row],[Required_Qty]]&gt;Table1[[#This Row],[Available_Qty]],Table1[[#This Row],[Required_Qty]]-Table1[[#This Row],[Available_Qty]],0)</f>
        <v>0</v>
      </c>
      <c r="M32" s="7">
        <f>IF(Table1[[#This Row],[Required_Qty]]&lt;Table1[[#This Row],[Available_Qty]],Table1[[#This Row],[Available_Qty]]-Table1[[#This Row],[Required_Qty]],0)</f>
        <v>76</v>
      </c>
      <c r="N32">
        <v>509190</v>
      </c>
      <c r="O32" s="7">
        <f>IF(AND(Table1[[#This Row],[Clean_Shortage]]&gt;0,Table1[[#This Row],[Lead_Time_Days]]&gt;10),1,0)</f>
        <v>0</v>
      </c>
    </row>
    <row r="33" spans="1:15" hidden="1" x14ac:dyDescent="0.3">
      <c r="A33" t="s">
        <v>43</v>
      </c>
      <c r="B33" t="s">
        <v>514</v>
      </c>
      <c r="C33" t="s">
        <v>518</v>
      </c>
      <c r="D33">
        <v>14</v>
      </c>
      <c r="E33">
        <v>80</v>
      </c>
      <c r="F33">
        <v>20</v>
      </c>
      <c r="G33">
        <v>8979</v>
      </c>
      <c r="H33">
        <v>8</v>
      </c>
      <c r="I33" s="1">
        <v>44958</v>
      </c>
      <c r="J33" s="7">
        <f>Table1[[#This Row],[Required_Qty]]-Table1[[#This Row],[Available_Qty]]</f>
        <v>-66</v>
      </c>
      <c r="K33" s="7">
        <v>66</v>
      </c>
      <c r="L33" s="7">
        <f>IF(Table1[[#This Row],[Required_Qty]]&gt;Table1[[#This Row],[Available_Qty]],Table1[[#This Row],[Required_Qty]]-Table1[[#This Row],[Available_Qty]],0)</f>
        <v>0</v>
      </c>
      <c r="M33" s="7">
        <f>IF(Table1[[#This Row],[Required_Qty]]&lt;Table1[[#This Row],[Available_Qty]],Table1[[#This Row],[Available_Qty]]-Table1[[#This Row],[Required_Qty]],0)</f>
        <v>66</v>
      </c>
      <c r="N33">
        <v>179580</v>
      </c>
      <c r="O33" s="7">
        <f>IF(AND(Table1[[#This Row],[Clean_Shortage]]&gt;0,Table1[[#This Row],[Lead_Time_Days]]&gt;10),1,0)</f>
        <v>0</v>
      </c>
    </row>
    <row r="34" spans="1:15" hidden="1" x14ac:dyDescent="0.3">
      <c r="A34" t="s">
        <v>44</v>
      </c>
      <c r="B34" t="s">
        <v>513</v>
      </c>
      <c r="C34" t="s">
        <v>516</v>
      </c>
      <c r="D34">
        <v>91</v>
      </c>
      <c r="E34">
        <v>91</v>
      </c>
      <c r="F34">
        <v>46</v>
      </c>
      <c r="G34">
        <v>3428</v>
      </c>
      <c r="H34">
        <v>8</v>
      </c>
      <c r="I34" s="1">
        <v>44959</v>
      </c>
      <c r="J34" s="7">
        <f>Table1[[#This Row],[Required_Qty]]-Table1[[#This Row],[Available_Qty]]</f>
        <v>0</v>
      </c>
      <c r="K34" s="7">
        <v>0</v>
      </c>
      <c r="L34" s="7">
        <f>IF(Table1[[#This Row],[Required_Qty]]&gt;Table1[[#This Row],[Available_Qty]],Table1[[#This Row],[Required_Qty]]-Table1[[#This Row],[Available_Qty]],0)</f>
        <v>0</v>
      </c>
      <c r="M34" s="7">
        <f>IF(Table1[[#This Row],[Required_Qty]]&lt;Table1[[#This Row],[Available_Qty]],Table1[[#This Row],[Available_Qty]]-Table1[[#This Row],[Required_Qty]],0)</f>
        <v>0</v>
      </c>
      <c r="N34">
        <v>157688</v>
      </c>
      <c r="O34" s="7">
        <f>IF(AND(Table1[[#This Row],[Clean_Shortage]]&gt;0,Table1[[#This Row],[Lead_Time_Days]]&gt;10),1,0)</f>
        <v>0</v>
      </c>
    </row>
    <row r="35" spans="1:15" hidden="1" x14ac:dyDescent="0.3">
      <c r="A35" t="s">
        <v>45</v>
      </c>
      <c r="B35" t="s">
        <v>515</v>
      </c>
      <c r="C35" t="s">
        <v>518</v>
      </c>
      <c r="D35">
        <v>51</v>
      </c>
      <c r="E35">
        <v>110</v>
      </c>
      <c r="F35">
        <v>79</v>
      </c>
      <c r="G35">
        <v>8426</v>
      </c>
      <c r="H35">
        <v>5</v>
      </c>
      <c r="I35" s="1">
        <v>44960</v>
      </c>
      <c r="J35" s="7">
        <f>Table1[[#This Row],[Required_Qty]]-Table1[[#This Row],[Available_Qty]]</f>
        <v>-59</v>
      </c>
      <c r="K35" s="7">
        <v>59</v>
      </c>
      <c r="L35" s="7">
        <f>IF(Table1[[#This Row],[Required_Qty]]&gt;Table1[[#This Row],[Available_Qty]],Table1[[#This Row],[Required_Qty]]-Table1[[#This Row],[Available_Qty]],0)</f>
        <v>0</v>
      </c>
      <c r="M35" s="7">
        <f>IF(Table1[[#This Row],[Required_Qty]]&lt;Table1[[#This Row],[Available_Qty]],Table1[[#This Row],[Available_Qty]]-Table1[[#This Row],[Required_Qty]],0)</f>
        <v>59</v>
      </c>
      <c r="N35">
        <v>665654</v>
      </c>
      <c r="O35" s="7">
        <f>IF(AND(Table1[[#This Row],[Clean_Shortage]]&gt;0,Table1[[#This Row],[Lead_Time_Days]]&gt;10),1,0)</f>
        <v>0</v>
      </c>
    </row>
    <row r="36" spans="1:15" hidden="1" x14ac:dyDescent="0.3">
      <c r="A36" t="s">
        <v>46</v>
      </c>
      <c r="B36" t="s">
        <v>515</v>
      </c>
      <c r="C36" t="s">
        <v>516</v>
      </c>
      <c r="D36">
        <v>70</v>
      </c>
      <c r="E36">
        <v>90</v>
      </c>
      <c r="F36">
        <v>58</v>
      </c>
      <c r="G36">
        <v>9533</v>
      </c>
      <c r="H36">
        <v>6</v>
      </c>
      <c r="I36" s="1">
        <v>44961</v>
      </c>
      <c r="J36" s="7">
        <f>Table1[[#This Row],[Required_Qty]]-Table1[[#This Row],[Available_Qty]]</f>
        <v>-20</v>
      </c>
      <c r="K36" s="7">
        <v>20</v>
      </c>
      <c r="L36" s="7">
        <f>IF(Table1[[#This Row],[Required_Qty]]&gt;Table1[[#This Row],[Available_Qty]],Table1[[#This Row],[Required_Qty]]-Table1[[#This Row],[Available_Qty]],0)</f>
        <v>0</v>
      </c>
      <c r="M36" s="7">
        <f>IF(Table1[[#This Row],[Required_Qty]]&lt;Table1[[#This Row],[Available_Qty]],Table1[[#This Row],[Available_Qty]]-Table1[[#This Row],[Required_Qty]],0)</f>
        <v>20</v>
      </c>
      <c r="N36">
        <v>552914</v>
      </c>
      <c r="O36" s="7">
        <f>IF(AND(Table1[[#This Row],[Clean_Shortage]]&gt;0,Table1[[#This Row],[Lead_Time_Days]]&gt;10),1,0)</f>
        <v>0</v>
      </c>
    </row>
    <row r="37" spans="1:15" hidden="1" x14ac:dyDescent="0.3">
      <c r="A37" t="s">
        <v>47</v>
      </c>
      <c r="B37" t="s">
        <v>514</v>
      </c>
      <c r="C37" t="s">
        <v>518</v>
      </c>
      <c r="D37">
        <v>31</v>
      </c>
      <c r="E37">
        <v>89</v>
      </c>
      <c r="F37">
        <v>5</v>
      </c>
      <c r="G37">
        <v>6249</v>
      </c>
      <c r="H37">
        <v>4</v>
      </c>
      <c r="I37" s="1">
        <v>44962</v>
      </c>
      <c r="J37" s="7">
        <f>Table1[[#This Row],[Required_Qty]]-Table1[[#This Row],[Available_Qty]]</f>
        <v>-58</v>
      </c>
      <c r="K37" s="7">
        <v>58</v>
      </c>
      <c r="L37" s="7">
        <f>IF(Table1[[#This Row],[Required_Qty]]&gt;Table1[[#This Row],[Available_Qty]],Table1[[#This Row],[Required_Qty]]-Table1[[#This Row],[Available_Qty]],0)</f>
        <v>0</v>
      </c>
      <c r="M37" s="7">
        <f>IF(Table1[[#This Row],[Required_Qty]]&lt;Table1[[#This Row],[Available_Qty]],Table1[[#This Row],[Available_Qty]]-Table1[[#This Row],[Required_Qty]],0)</f>
        <v>58</v>
      </c>
      <c r="N37">
        <v>31245</v>
      </c>
      <c r="O37" s="7">
        <f>IF(AND(Table1[[#This Row],[Clean_Shortage]]&gt;0,Table1[[#This Row],[Lead_Time_Days]]&gt;10),1,0)</f>
        <v>0</v>
      </c>
    </row>
    <row r="38" spans="1:15" hidden="1" x14ac:dyDescent="0.3">
      <c r="A38" t="s">
        <v>48</v>
      </c>
      <c r="B38" t="s">
        <v>513</v>
      </c>
      <c r="C38" t="s">
        <v>517</v>
      </c>
      <c r="D38">
        <v>30</v>
      </c>
      <c r="E38">
        <v>31</v>
      </c>
      <c r="F38">
        <v>18</v>
      </c>
      <c r="G38">
        <v>6291</v>
      </c>
      <c r="H38">
        <v>12</v>
      </c>
      <c r="I38" s="1">
        <v>44963</v>
      </c>
      <c r="J38" s="7">
        <f>Table1[[#This Row],[Required_Qty]]-Table1[[#This Row],[Available_Qty]]</f>
        <v>-1</v>
      </c>
      <c r="K38" s="7">
        <v>1</v>
      </c>
      <c r="L38" s="7">
        <f>IF(Table1[[#This Row],[Required_Qty]]&gt;Table1[[#This Row],[Available_Qty]],Table1[[#This Row],[Required_Qty]]-Table1[[#This Row],[Available_Qty]],0)</f>
        <v>0</v>
      </c>
      <c r="M38" s="7">
        <f>IF(Table1[[#This Row],[Required_Qty]]&lt;Table1[[#This Row],[Available_Qty]],Table1[[#This Row],[Available_Qty]]-Table1[[#This Row],[Required_Qty]],0)</f>
        <v>1</v>
      </c>
      <c r="N38">
        <v>113238</v>
      </c>
      <c r="O38" s="7">
        <f>IF(AND(Table1[[#This Row],[Clean_Shortage]]&gt;0,Table1[[#This Row],[Lead_Time_Days]]&gt;10),1,0)</f>
        <v>0</v>
      </c>
    </row>
    <row r="39" spans="1:15" x14ac:dyDescent="0.3">
      <c r="A39" t="s">
        <v>49</v>
      </c>
      <c r="B39" t="s">
        <v>514</v>
      </c>
      <c r="C39" t="s">
        <v>517</v>
      </c>
      <c r="D39">
        <v>79</v>
      </c>
      <c r="E39">
        <v>61</v>
      </c>
      <c r="F39">
        <v>56</v>
      </c>
      <c r="G39">
        <v>3817</v>
      </c>
      <c r="H39">
        <v>14</v>
      </c>
      <c r="I39" s="1">
        <v>44964</v>
      </c>
      <c r="J39" s="7">
        <f>Table1[[#This Row],[Required_Qty]]-Table1[[#This Row],[Available_Qty]]</f>
        <v>18</v>
      </c>
      <c r="K39" s="7">
        <v>-18</v>
      </c>
      <c r="L39" s="7">
        <f>IF(Table1[[#This Row],[Required_Qty]]&gt;Table1[[#This Row],[Available_Qty]],Table1[[#This Row],[Required_Qty]]-Table1[[#This Row],[Available_Qty]],0)</f>
        <v>18</v>
      </c>
      <c r="M39" s="7">
        <f>IF(Table1[[#This Row],[Required_Qty]]&lt;Table1[[#This Row],[Available_Qty]],Table1[[#This Row],[Available_Qty]]-Table1[[#This Row],[Required_Qty]],0)</f>
        <v>0</v>
      </c>
      <c r="N39">
        <v>213752</v>
      </c>
      <c r="O39" s="7">
        <f>IF(AND(Table1[[#This Row],[Clean_Shortage]]&gt;0,Table1[[#This Row],[Lead_Time_Days]]&gt;10),1,0)</f>
        <v>1</v>
      </c>
    </row>
    <row r="40" spans="1:15" hidden="1" x14ac:dyDescent="0.3">
      <c r="A40" t="s">
        <v>50</v>
      </c>
      <c r="B40" t="s">
        <v>514</v>
      </c>
      <c r="C40" t="s">
        <v>518</v>
      </c>
      <c r="D40">
        <v>10</v>
      </c>
      <c r="E40">
        <v>35</v>
      </c>
      <c r="F40">
        <v>68</v>
      </c>
      <c r="G40">
        <v>4874</v>
      </c>
      <c r="H40">
        <v>11</v>
      </c>
      <c r="I40" s="1">
        <v>44965</v>
      </c>
      <c r="J40" s="7">
        <f>Table1[[#This Row],[Required_Qty]]-Table1[[#This Row],[Available_Qty]]</f>
        <v>-25</v>
      </c>
      <c r="K40" s="7">
        <v>25</v>
      </c>
      <c r="L40" s="7">
        <f>IF(Table1[[#This Row],[Required_Qty]]&gt;Table1[[#This Row],[Available_Qty]],Table1[[#This Row],[Required_Qty]]-Table1[[#This Row],[Available_Qty]],0)</f>
        <v>0</v>
      </c>
      <c r="M40" s="7">
        <f>IF(Table1[[#This Row],[Required_Qty]]&lt;Table1[[#This Row],[Available_Qty]],Table1[[#This Row],[Available_Qty]]-Table1[[#This Row],[Required_Qty]],0)</f>
        <v>25</v>
      </c>
      <c r="N40">
        <v>331432</v>
      </c>
      <c r="O40" s="7">
        <f>IF(AND(Table1[[#This Row],[Clean_Shortage]]&gt;0,Table1[[#This Row],[Lead_Time_Days]]&gt;10),1,0)</f>
        <v>0</v>
      </c>
    </row>
    <row r="41" spans="1:15" x14ac:dyDescent="0.3">
      <c r="A41" t="s">
        <v>51</v>
      </c>
      <c r="B41" t="s">
        <v>512</v>
      </c>
      <c r="C41" t="s">
        <v>516</v>
      </c>
      <c r="D41">
        <v>14</v>
      </c>
      <c r="E41">
        <v>10</v>
      </c>
      <c r="F41">
        <v>2</v>
      </c>
      <c r="G41">
        <v>5211</v>
      </c>
      <c r="H41">
        <v>13</v>
      </c>
      <c r="I41" s="1">
        <v>44966</v>
      </c>
      <c r="J41" s="7">
        <f>Table1[[#This Row],[Required_Qty]]-Table1[[#This Row],[Available_Qty]]</f>
        <v>4</v>
      </c>
      <c r="K41" s="7">
        <v>-4</v>
      </c>
      <c r="L41" s="7">
        <f>IF(Table1[[#This Row],[Required_Qty]]&gt;Table1[[#This Row],[Available_Qty]],Table1[[#This Row],[Required_Qty]]-Table1[[#This Row],[Available_Qty]],0)</f>
        <v>4</v>
      </c>
      <c r="M41" s="7">
        <f>IF(Table1[[#This Row],[Required_Qty]]&lt;Table1[[#This Row],[Available_Qty]],Table1[[#This Row],[Available_Qty]]-Table1[[#This Row],[Required_Qty]],0)</f>
        <v>0</v>
      </c>
      <c r="N41">
        <v>10422</v>
      </c>
      <c r="O41" s="7">
        <f>IF(AND(Table1[[#This Row],[Clean_Shortage]]&gt;0,Table1[[#This Row],[Lead_Time_Days]]&gt;10),1,0)</f>
        <v>1</v>
      </c>
    </row>
    <row r="42" spans="1:15" hidden="1" x14ac:dyDescent="0.3">
      <c r="A42" t="s">
        <v>52</v>
      </c>
      <c r="B42" t="s">
        <v>512</v>
      </c>
      <c r="C42" t="s">
        <v>517</v>
      </c>
      <c r="D42">
        <v>21</v>
      </c>
      <c r="E42">
        <v>95</v>
      </c>
      <c r="F42">
        <v>0</v>
      </c>
      <c r="G42">
        <v>1661</v>
      </c>
      <c r="H42">
        <v>9</v>
      </c>
      <c r="I42" s="1">
        <v>44967</v>
      </c>
      <c r="J42" s="7">
        <f>Table1[[#This Row],[Required_Qty]]-Table1[[#This Row],[Available_Qty]]</f>
        <v>-74</v>
      </c>
      <c r="K42" s="7">
        <v>74</v>
      </c>
      <c r="L42" s="7">
        <f>IF(Table1[[#This Row],[Required_Qty]]&gt;Table1[[#This Row],[Available_Qty]],Table1[[#This Row],[Required_Qty]]-Table1[[#This Row],[Available_Qty]],0)</f>
        <v>0</v>
      </c>
      <c r="M42" s="7">
        <f>IF(Table1[[#This Row],[Required_Qty]]&lt;Table1[[#This Row],[Available_Qty]],Table1[[#This Row],[Available_Qty]]-Table1[[#This Row],[Required_Qty]],0)</f>
        <v>74</v>
      </c>
      <c r="N42">
        <v>0</v>
      </c>
      <c r="O42" s="7">
        <f>IF(AND(Table1[[#This Row],[Clean_Shortage]]&gt;0,Table1[[#This Row],[Lead_Time_Days]]&gt;10),1,0)</f>
        <v>0</v>
      </c>
    </row>
    <row r="43" spans="1:15" hidden="1" x14ac:dyDescent="0.3">
      <c r="A43" t="s">
        <v>53</v>
      </c>
      <c r="B43" t="s">
        <v>512</v>
      </c>
      <c r="C43" t="s">
        <v>517</v>
      </c>
      <c r="D43">
        <v>99</v>
      </c>
      <c r="E43">
        <v>44</v>
      </c>
      <c r="F43">
        <v>57</v>
      </c>
      <c r="G43">
        <v>4374</v>
      </c>
      <c r="H43">
        <v>8</v>
      </c>
      <c r="I43" s="1">
        <v>44968</v>
      </c>
      <c r="J43" s="7">
        <f>Table1[[#This Row],[Required_Qty]]-Table1[[#This Row],[Available_Qty]]</f>
        <v>55</v>
      </c>
      <c r="K43" s="7">
        <v>-55</v>
      </c>
      <c r="L43" s="7">
        <f>IF(Table1[[#This Row],[Required_Qty]]&gt;Table1[[#This Row],[Available_Qty]],Table1[[#This Row],[Required_Qty]]-Table1[[#This Row],[Available_Qty]],0)</f>
        <v>55</v>
      </c>
      <c r="M43" s="7">
        <f>IF(Table1[[#This Row],[Required_Qty]]&lt;Table1[[#This Row],[Available_Qty]],Table1[[#This Row],[Available_Qty]]-Table1[[#This Row],[Required_Qty]],0)</f>
        <v>0</v>
      </c>
      <c r="N43">
        <v>249318</v>
      </c>
      <c r="O43" s="7">
        <f>IF(AND(Table1[[#This Row],[Clean_Shortage]]&gt;0,Table1[[#This Row],[Lead_Time_Days]]&gt;10),1,0)</f>
        <v>0</v>
      </c>
    </row>
    <row r="44" spans="1:15" hidden="1" x14ac:dyDescent="0.3">
      <c r="A44" t="s">
        <v>54</v>
      </c>
      <c r="B44" t="s">
        <v>515</v>
      </c>
      <c r="C44" t="s">
        <v>517</v>
      </c>
      <c r="D44">
        <v>55</v>
      </c>
      <c r="E44">
        <v>102</v>
      </c>
      <c r="F44">
        <v>37</v>
      </c>
      <c r="G44">
        <v>1207</v>
      </c>
      <c r="H44">
        <v>10</v>
      </c>
      <c r="I44" s="1">
        <v>44969</v>
      </c>
      <c r="J44" s="7">
        <f>Table1[[#This Row],[Required_Qty]]-Table1[[#This Row],[Available_Qty]]</f>
        <v>-47</v>
      </c>
      <c r="K44" s="7">
        <v>47</v>
      </c>
      <c r="L44" s="7">
        <f>IF(Table1[[#This Row],[Required_Qty]]&gt;Table1[[#This Row],[Available_Qty]],Table1[[#This Row],[Required_Qty]]-Table1[[#This Row],[Available_Qty]],0)</f>
        <v>0</v>
      </c>
      <c r="M44" s="7">
        <f>IF(Table1[[#This Row],[Required_Qty]]&lt;Table1[[#This Row],[Available_Qty]],Table1[[#This Row],[Available_Qty]]-Table1[[#This Row],[Required_Qty]],0)</f>
        <v>47</v>
      </c>
      <c r="N44">
        <v>44659</v>
      </c>
      <c r="O44" s="7">
        <f>IF(AND(Table1[[#This Row],[Clean_Shortage]]&gt;0,Table1[[#This Row],[Lead_Time_Days]]&gt;10),1,0)</f>
        <v>0</v>
      </c>
    </row>
    <row r="45" spans="1:15" x14ac:dyDescent="0.3">
      <c r="A45" t="s">
        <v>55</v>
      </c>
      <c r="B45" t="s">
        <v>513</v>
      </c>
      <c r="C45" t="s">
        <v>518</v>
      </c>
      <c r="D45">
        <v>43</v>
      </c>
      <c r="E45">
        <v>16</v>
      </c>
      <c r="F45">
        <v>14</v>
      </c>
      <c r="G45">
        <v>3665</v>
      </c>
      <c r="H45">
        <v>12</v>
      </c>
      <c r="I45" s="1">
        <v>44970</v>
      </c>
      <c r="J45" s="7">
        <f>Table1[[#This Row],[Required_Qty]]-Table1[[#This Row],[Available_Qty]]</f>
        <v>27</v>
      </c>
      <c r="K45" s="7">
        <v>-27</v>
      </c>
      <c r="L45" s="7">
        <f>IF(Table1[[#This Row],[Required_Qty]]&gt;Table1[[#This Row],[Available_Qty]],Table1[[#This Row],[Required_Qty]]-Table1[[#This Row],[Available_Qty]],0)</f>
        <v>27</v>
      </c>
      <c r="M45" s="7">
        <f>IF(Table1[[#This Row],[Required_Qty]]&lt;Table1[[#This Row],[Available_Qty]],Table1[[#This Row],[Available_Qty]]-Table1[[#This Row],[Required_Qty]],0)</f>
        <v>0</v>
      </c>
      <c r="N45">
        <v>51310</v>
      </c>
      <c r="O45" s="7">
        <f>IF(AND(Table1[[#This Row],[Clean_Shortage]]&gt;0,Table1[[#This Row],[Lead_Time_Days]]&gt;10),1,0)</f>
        <v>1</v>
      </c>
    </row>
    <row r="46" spans="1:15" hidden="1" x14ac:dyDescent="0.3">
      <c r="A46" t="s">
        <v>56</v>
      </c>
      <c r="B46" t="s">
        <v>513</v>
      </c>
      <c r="C46" t="s">
        <v>518</v>
      </c>
      <c r="D46">
        <v>58</v>
      </c>
      <c r="E46">
        <v>113</v>
      </c>
      <c r="F46">
        <v>33</v>
      </c>
      <c r="G46">
        <v>3493</v>
      </c>
      <c r="H46">
        <v>10</v>
      </c>
      <c r="I46" s="1">
        <v>44971</v>
      </c>
      <c r="J46" s="7">
        <f>Table1[[#This Row],[Required_Qty]]-Table1[[#This Row],[Available_Qty]]</f>
        <v>-55</v>
      </c>
      <c r="K46" s="7">
        <v>55</v>
      </c>
      <c r="L46" s="7">
        <f>IF(Table1[[#This Row],[Required_Qty]]&gt;Table1[[#This Row],[Available_Qty]],Table1[[#This Row],[Required_Qty]]-Table1[[#This Row],[Available_Qty]],0)</f>
        <v>0</v>
      </c>
      <c r="M46" s="7">
        <f>IF(Table1[[#This Row],[Required_Qty]]&lt;Table1[[#This Row],[Available_Qty]],Table1[[#This Row],[Available_Qty]]-Table1[[#This Row],[Required_Qty]],0)</f>
        <v>55</v>
      </c>
      <c r="N46">
        <v>115269</v>
      </c>
      <c r="O46" s="7">
        <f>IF(AND(Table1[[#This Row],[Clean_Shortage]]&gt;0,Table1[[#This Row],[Lead_Time_Days]]&gt;10),1,0)</f>
        <v>0</v>
      </c>
    </row>
    <row r="47" spans="1:15" hidden="1" x14ac:dyDescent="0.3">
      <c r="A47" t="s">
        <v>57</v>
      </c>
      <c r="B47" t="s">
        <v>513</v>
      </c>
      <c r="C47" t="s">
        <v>516</v>
      </c>
      <c r="D47">
        <v>87</v>
      </c>
      <c r="E47">
        <v>57</v>
      </c>
      <c r="F47">
        <v>60</v>
      </c>
      <c r="G47">
        <v>7813</v>
      </c>
      <c r="H47">
        <v>1</v>
      </c>
      <c r="I47" s="1">
        <v>44972</v>
      </c>
      <c r="J47" s="7">
        <f>Table1[[#This Row],[Required_Qty]]-Table1[[#This Row],[Available_Qty]]</f>
        <v>30</v>
      </c>
      <c r="K47" s="7">
        <v>-30</v>
      </c>
      <c r="L47" s="7">
        <f>IF(Table1[[#This Row],[Required_Qty]]&gt;Table1[[#This Row],[Available_Qty]],Table1[[#This Row],[Required_Qty]]-Table1[[#This Row],[Available_Qty]],0)</f>
        <v>30</v>
      </c>
      <c r="M47" s="7">
        <f>IF(Table1[[#This Row],[Required_Qty]]&lt;Table1[[#This Row],[Available_Qty]],Table1[[#This Row],[Available_Qty]]-Table1[[#This Row],[Required_Qty]],0)</f>
        <v>0</v>
      </c>
      <c r="N47">
        <v>468780</v>
      </c>
      <c r="O47" s="7">
        <f>IF(AND(Table1[[#This Row],[Clean_Shortage]]&gt;0,Table1[[#This Row],[Lead_Time_Days]]&gt;10),1,0)</f>
        <v>0</v>
      </c>
    </row>
    <row r="48" spans="1:15" hidden="1" x14ac:dyDescent="0.3">
      <c r="A48" t="s">
        <v>58</v>
      </c>
      <c r="B48" t="s">
        <v>513</v>
      </c>
      <c r="C48" t="s">
        <v>516</v>
      </c>
      <c r="D48">
        <v>99</v>
      </c>
      <c r="E48">
        <v>75</v>
      </c>
      <c r="F48">
        <v>34</v>
      </c>
      <c r="G48">
        <v>1632</v>
      </c>
      <c r="H48">
        <v>2</v>
      </c>
      <c r="I48" s="1">
        <v>44973</v>
      </c>
      <c r="J48" s="7">
        <f>Table1[[#This Row],[Required_Qty]]-Table1[[#This Row],[Available_Qty]]</f>
        <v>24</v>
      </c>
      <c r="K48" s="7">
        <v>-24</v>
      </c>
      <c r="L48" s="7">
        <f>IF(Table1[[#This Row],[Required_Qty]]&gt;Table1[[#This Row],[Available_Qty]],Table1[[#This Row],[Required_Qty]]-Table1[[#This Row],[Available_Qty]],0)</f>
        <v>24</v>
      </c>
      <c r="M48" s="7">
        <f>IF(Table1[[#This Row],[Required_Qty]]&lt;Table1[[#This Row],[Available_Qty]],Table1[[#This Row],[Available_Qty]]-Table1[[#This Row],[Required_Qty]],0)</f>
        <v>0</v>
      </c>
      <c r="N48">
        <v>55488</v>
      </c>
      <c r="O48" s="7">
        <f>IF(AND(Table1[[#This Row],[Clean_Shortage]]&gt;0,Table1[[#This Row],[Lead_Time_Days]]&gt;10),1,0)</f>
        <v>0</v>
      </c>
    </row>
    <row r="49" spans="1:15" hidden="1" x14ac:dyDescent="0.3">
      <c r="A49" t="s">
        <v>59</v>
      </c>
      <c r="B49" t="s">
        <v>512</v>
      </c>
      <c r="C49" t="s">
        <v>516</v>
      </c>
      <c r="D49">
        <v>54</v>
      </c>
      <c r="E49">
        <v>14</v>
      </c>
      <c r="F49">
        <v>63</v>
      </c>
      <c r="G49">
        <v>4083</v>
      </c>
      <c r="H49">
        <v>9</v>
      </c>
      <c r="I49" s="1">
        <v>44974</v>
      </c>
      <c r="J49" s="7">
        <f>Table1[[#This Row],[Required_Qty]]-Table1[[#This Row],[Available_Qty]]</f>
        <v>40</v>
      </c>
      <c r="K49" s="7">
        <v>-40</v>
      </c>
      <c r="L49" s="7">
        <f>IF(Table1[[#This Row],[Required_Qty]]&gt;Table1[[#This Row],[Available_Qty]],Table1[[#This Row],[Required_Qty]]-Table1[[#This Row],[Available_Qty]],0)</f>
        <v>40</v>
      </c>
      <c r="M49" s="7">
        <f>IF(Table1[[#This Row],[Required_Qty]]&lt;Table1[[#This Row],[Available_Qty]],Table1[[#This Row],[Available_Qty]]-Table1[[#This Row],[Required_Qty]],0)</f>
        <v>0</v>
      </c>
      <c r="N49">
        <v>257229</v>
      </c>
      <c r="O49" s="7">
        <f>IF(AND(Table1[[#This Row],[Clean_Shortage]]&gt;0,Table1[[#This Row],[Lead_Time_Days]]&gt;10),1,0)</f>
        <v>0</v>
      </c>
    </row>
    <row r="50" spans="1:15" hidden="1" x14ac:dyDescent="0.3">
      <c r="A50" t="s">
        <v>60</v>
      </c>
      <c r="B50" t="s">
        <v>515</v>
      </c>
      <c r="C50" t="s">
        <v>518</v>
      </c>
      <c r="D50">
        <v>36</v>
      </c>
      <c r="E50">
        <v>49</v>
      </c>
      <c r="F50">
        <v>24</v>
      </c>
      <c r="G50">
        <v>4719</v>
      </c>
      <c r="H50">
        <v>8</v>
      </c>
      <c r="I50" s="1">
        <v>44975</v>
      </c>
      <c r="J50" s="7">
        <f>Table1[[#This Row],[Required_Qty]]-Table1[[#This Row],[Available_Qty]]</f>
        <v>-13</v>
      </c>
      <c r="K50" s="7">
        <v>13</v>
      </c>
      <c r="L50" s="7">
        <f>IF(Table1[[#This Row],[Required_Qty]]&gt;Table1[[#This Row],[Available_Qty]],Table1[[#This Row],[Required_Qty]]-Table1[[#This Row],[Available_Qty]],0)</f>
        <v>0</v>
      </c>
      <c r="M50" s="7">
        <f>IF(Table1[[#This Row],[Required_Qty]]&lt;Table1[[#This Row],[Available_Qty]],Table1[[#This Row],[Available_Qty]]-Table1[[#This Row],[Required_Qty]],0)</f>
        <v>13</v>
      </c>
      <c r="N50">
        <v>113256</v>
      </c>
      <c r="O50" s="7">
        <f>IF(AND(Table1[[#This Row],[Clean_Shortage]]&gt;0,Table1[[#This Row],[Lead_Time_Days]]&gt;10),1,0)</f>
        <v>0</v>
      </c>
    </row>
    <row r="51" spans="1:15" x14ac:dyDescent="0.3">
      <c r="A51" t="s">
        <v>61</v>
      </c>
      <c r="B51" t="s">
        <v>515</v>
      </c>
      <c r="C51" t="s">
        <v>518</v>
      </c>
      <c r="D51">
        <v>82</v>
      </c>
      <c r="E51">
        <v>21</v>
      </c>
      <c r="F51">
        <v>23</v>
      </c>
      <c r="G51">
        <v>8123</v>
      </c>
      <c r="H51">
        <v>14</v>
      </c>
      <c r="I51" s="1">
        <v>44976</v>
      </c>
      <c r="J51" s="7">
        <f>Table1[[#This Row],[Required_Qty]]-Table1[[#This Row],[Available_Qty]]</f>
        <v>61</v>
      </c>
      <c r="K51" s="7">
        <v>-61</v>
      </c>
      <c r="L51" s="7">
        <f>IF(Table1[[#This Row],[Required_Qty]]&gt;Table1[[#This Row],[Available_Qty]],Table1[[#This Row],[Required_Qty]]-Table1[[#This Row],[Available_Qty]],0)</f>
        <v>61</v>
      </c>
      <c r="M51" s="7">
        <f>IF(Table1[[#This Row],[Required_Qty]]&lt;Table1[[#This Row],[Available_Qty]],Table1[[#This Row],[Available_Qty]]-Table1[[#This Row],[Required_Qty]],0)</f>
        <v>0</v>
      </c>
      <c r="N51">
        <v>186829</v>
      </c>
      <c r="O51" s="7">
        <f>IF(AND(Table1[[#This Row],[Clean_Shortage]]&gt;0,Table1[[#This Row],[Lead_Time_Days]]&gt;10),1,0)</f>
        <v>1</v>
      </c>
    </row>
    <row r="52" spans="1:15" hidden="1" x14ac:dyDescent="0.3">
      <c r="A52" t="s">
        <v>62</v>
      </c>
      <c r="B52" t="s">
        <v>512</v>
      </c>
      <c r="C52" t="s">
        <v>516</v>
      </c>
      <c r="D52">
        <v>35</v>
      </c>
      <c r="E52">
        <v>30</v>
      </c>
      <c r="F52">
        <v>11</v>
      </c>
      <c r="G52">
        <v>2679</v>
      </c>
      <c r="H52">
        <v>3</v>
      </c>
      <c r="I52" s="1">
        <v>44977</v>
      </c>
      <c r="J52" s="7">
        <f>Table1[[#This Row],[Required_Qty]]-Table1[[#This Row],[Available_Qty]]</f>
        <v>5</v>
      </c>
      <c r="K52" s="7">
        <v>-5</v>
      </c>
      <c r="L52" s="7">
        <f>IF(Table1[[#This Row],[Required_Qty]]&gt;Table1[[#This Row],[Available_Qty]],Table1[[#This Row],[Required_Qty]]-Table1[[#This Row],[Available_Qty]],0)</f>
        <v>5</v>
      </c>
      <c r="M52" s="7">
        <f>IF(Table1[[#This Row],[Required_Qty]]&lt;Table1[[#This Row],[Available_Qty]],Table1[[#This Row],[Available_Qty]]-Table1[[#This Row],[Required_Qty]],0)</f>
        <v>0</v>
      </c>
      <c r="N52">
        <v>29469</v>
      </c>
      <c r="O52" s="7">
        <f>IF(AND(Table1[[#This Row],[Clean_Shortage]]&gt;0,Table1[[#This Row],[Lead_Time_Days]]&gt;10),1,0)</f>
        <v>0</v>
      </c>
    </row>
    <row r="53" spans="1:15" hidden="1" x14ac:dyDescent="0.3">
      <c r="A53" t="s">
        <v>63</v>
      </c>
      <c r="B53" t="s">
        <v>515</v>
      </c>
      <c r="C53" t="s">
        <v>516</v>
      </c>
      <c r="D53">
        <v>56</v>
      </c>
      <c r="E53">
        <v>89</v>
      </c>
      <c r="F53">
        <v>17</v>
      </c>
      <c r="G53">
        <v>1236</v>
      </c>
      <c r="H53">
        <v>8</v>
      </c>
      <c r="I53" s="1">
        <v>44978</v>
      </c>
      <c r="J53" s="7">
        <f>Table1[[#This Row],[Required_Qty]]-Table1[[#This Row],[Available_Qty]]</f>
        <v>-33</v>
      </c>
      <c r="K53" s="7">
        <v>33</v>
      </c>
      <c r="L53" s="7">
        <f>IF(Table1[[#This Row],[Required_Qty]]&gt;Table1[[#This Row],[Available_Qty]],Table1[[#This Row],[Required_Qty]]-Table1[[#This Row],[Available_Qty]],0)</f>
        <v>0</v>
      </c>
      <c r="M53" s="7">
        <f>IF(Table1[[#This Row],[Required_Qty]]&lt;Table1[[#This Row],[Available_Qty]],Table1[[#This Row],[Available_Qty]]-Table1[[#This Row],[Required_Qty]],0)</f>
        <v>33</v>
      </c>
      <c r="N53">
        <v>21012</v>
      </c>
      <c r="O53" s="7">
        <f>IF(AND(Table1[[#This Row],[Clean_Shortage]]&gt;0,Table1[[#This Row],[Lead_Time_Days]]&gt;10),1,0)</f>
        <v>0</v>
      </c>
    </row>
    <row r="54" spans="1:15" hidden="1" x14ac:dyDescent="0.3">
      <c r="A54" t="s">
        <v>64</v>
      </c>
      <c r="B54" t="s">
        <v>512</v>
      </c>
      <c r="C54" t="s">
        <v>518</v>
      </c>
      <c r="D54">
        <v>95</v>
      </c>
      <c r="E54">
        <v>96</v>
      </c>
      <c r="F54">
        <v>14</v>
      </c>
      <c r="G54">
        <v>8446</v>
      </c>
      <c r="H54">
        <v>12</v>
      </c>
      <c r="I54" s="1">
        <v>44979</v>
      </c>
      <c r="J54" s="7">
        <f>Table1[[#This Row],[Required_Qty]]-Table1[[#This Row],[Available_Qty]]</f>
        <v>-1</v>
      </c>
      <c r="K54" s="7">
        <v>1</v>
      </c>
      <c r="L54" s="7">
        <f>IF(Table1[[#This Row],[Required_Qty]]&gt;Table1[[#This Row],[Available_Qty]],Table1[[#This Row],[Required_Qty]]-Table1[[#This Row],[Available_Qty]],0)</f>
        <v>0</v>
      </c>
      <c r="M54" s="7">
        <f>IF(Table1[[#This Row],[Required_Qty]]&lt;Table1[[#This Row],[Available_Qty]],Table1[[#This Row],[Available_Qty]]-Table1[[#This Row],[Required_Qty]],0)</f>
        <v>1</v>
      </c>
      <c r="N54">
        <v>118244</v>
      </c>
      <c r="O54" s="7">
        <f>IF(AND(Table1[[#This Row],[Clean_Shortage]]&gt;0,Table1[[#This Row],[Lead_Time_Days]]&gt;10),1,0)</f>
        <v>0</v>
      </c>
    </row>
    <row r="55" spans="1:15" hidden="1" x14ac:dyDescent="0.3">
      <c r="A55" t="s">
        <v>65</v>
      </c>
      <c r="B55" t="s">
        <v>513</v>
      </c>
      <c r="C55" t="s">
        <v>516</v>
      </c>
      <c r="D55">
        <v>65</v>
      </c>
      <c r="E55">
        <v>66</v>
      </c>
      <c r="F55">
        <v>79</v>
      </c>
      <c r="G55">
        <v>5443</v>
      </c>
      <c r="H55">
        <v>1</v>
      </c>
      <c r="I55" s="1">
        <v>44980</v>
      </c>
      <c r="J55" s="7">
        <f>Table1[[#This Row],[Required_Qty]]-Table1[[#This Row],[Available_Qty]]</f>
        <v>-1</v>
      </c>
      <c r="K55" s="7">
        <v>1</v>
      </c>
      <c r="L55" s="7">
        <f>IF(Table1[[#This Row],[Required_Qty]]&gt;Table1[[#This Row],[Available_Qty]],Table1[[#This Row],[Required_Qty]]-Table1[[#This Row],[Available_Qty]],0)</f>
        <v>0</v>
      </c>
      <c r="M55" s="7">
        <f>IF(Table1[[#This Row],[Required_Qty]]&lt;Table1[[#This Row],[Available_Qty]],Table1[[#This Row],[Available_Qty]]-Table1[[#This Row],[Required_Qty]],0)</f>
        <v>1</v>
      </c>
      <c r="N55">
        <v>429997</v>
      </c>
      <c r="O55" s="7">
        <f>IF(AND(Table1[[#This Row],[Clean_Shortage]]&gt;0,Table1[[#This Row],[Lead_Time_Days]]&gt;10),1,0)</f>
        <v>0</v>
      </c>
    </row>
    <row r="56" spans="1:15" hidden="1" x14ac:dyDescent="0.3">
      <c r="A56" t="s">
        <v>66</v>
      </c>
      <c r="B56" t="s">
        <v>512</v>
      </c>
      <c r="C56" t="s">
        <v>517</v>
      </c>
      <c r="D56">
        <v>72</v>
      </c>
      <c r="E56">
        <v>50</v>
      </c>
      <c r="F56">
        <v>26</v>
      </c>
      <c r="G56">
        <v>7770</v>
      </c>
      <c r="H56">
        <v>10</v>
      </c>
      <c r="I56" s="1">
        <v>44981</v>
      </c>
      <c r="J56" s="7">
        <f>Table1[[#This Row],[Required_Qty]]-Table1[[#This Row],[Available_Qty]]</f>
        <v>22</v>
      </c>
      <c r="K56" s="7">
        <v>-22</v>
      </c>
      <c r="L56" s="7">
        <f>IF(Table1[[#This Row],[Required_Qty]]&gt;Table1[[#This Row],[Available_Qty]],Table1[[#This Row],[Required_Qty]]-Table1[[#This Row],[Available_Qty]],0)</f>
        <v>22</v>
      </c>
      <c r="M56" s="7">
        <f>IF(Table1[[#This Row],[Required_Qty]]&lt;Table1[[#This Row],[Available_Qty]],Table1[[#This Row],[Available_Qty]]-Table1[[#This Row],[Required_Qty]],0)</f>
        <v>0</v>
      </c>
      <c r="N56">
        <v>202020</v>
      </c>
      <c r="O56" s="7">
        <f>IF(AND(Table1[[#This Row],[Clean_Shortage]]&gt;0,Table1[[#This Row],[Lead_Time_Days]]&gt;10),1,0)</f>
        <v>0</v>
      </c>
    </row>
    <row r="57" spans="1:15" hidden="1" x14ac:dyDescent="0.3">
      <c r="A57" t="s">
        <v>67</v>
      </c>
      <c r="B57" t="s">
        <v>513</v>
      </c>
      <c r="C57" t="s">
        <v>518</v>
      </c>
      <c r="D57">
        <v>57</v>
      </c>
      <c r="E57">
        <v>68</v>
      </c>
      <c r="F57">
        <v>71</v>
      </c>
      <c r="G57">
        <v>7099</v>
      </c>
      <c r="H57">
        <v>4</v>
      </c>
      <c r="I57" s="1">
        <v>44982</v>
      </c>
      <c r="J57" s="7">
        <f>Table1[[#This Row],[Required_Qty]]-Table1[[#This Row],[Available_Qty]]</f>
        <v>-11</v>
      </c>
      <c r="K57" s="7">
        <v>11</v>
      </c>
      <c r="L57" s="7">
        <f>IF(Table1[[#This Row],[Required_Qty]]&gt;Table1[[#This Row],[Available_Qty]],Table1[[#This Row],[Required_Qty]]-Table1[[#This Row],[Available_Qty]],0)</f>
        <v>0</v>
      </c>
      <c r="M57" s="7">
        <f>IF(Table1[[#This Row],[Required_Qty]]&lt;Table1[[#This Row],[Available_Qty]],Table1[[#This Row],[Available_Qty]]-Table1[[#This Row],[Required_Qty]],0)</f>
        <v>11</v>
      </c>
      <c r="N57">
        <v>504029</v>
      </c>
      <c r="O57" s="7">
        <f>IF(AND(Table1[[#This Row],[Clean_Shortage]]&gt;0,Table1[[#This Row],[Lead_Time_Days]]&gt;10),1,0)</f>
        <v>0</v>
      </c>
    </row>
    <row r="58" spans="1:15" hidden="1" x14ac:dyDescent="0.3">
      <c r="A58" t="s">
        <v>68</v>
      </c>
      <c r="B58" t="s">
        <v>513</v>
      </c>
      <c r="C58" t="s">
        <v>516</v>
      </c>
      <c r="D58">
        <v>70</v>
      </c>
      <c r="E58">
        <v>6</v>
      </c>
      <c r="F58">
        <v>59</v>
      </c>
      <c r="G58">
        <v>9555</v>
      </c>
      <c r="H58">
        <v>3</v>
      </c>
      <c r="I58" s="1">
        <v>44983</v>
      </c>
      <c r="J58" s="7">
        <f>Table1[[#This Row],[Required_Qty]]-Table1[[#This Row],[Available_Qty]]</f>
        <v>64</v>
      </c>
      <c r="K58" s="7">
        <v>-64</v>
      </c>
      <c r="L58" s="7">
        <f>IF(Table1[[#This Row],[Required_Qty]]&gt;Table1[[#This Row],[Available_Qty]],Table1[[#This Row],[Required_Qty]]-Table1[[#This Row],[Available_Qty]],0)</f>
        <v>64</v>
      </c>
      <c r="M58" s="7">
        <f>IF(Table1[[#This Row],[Required_Qty]]&lt;Table1[[#This Row],[Available_Qty]],Table1[[#This Row],[Available_Qty]]-Table1[[#This Row],[Required_Qty]],0)</f>
        <v>0</v>
      </c>
      <c r="N58">
        <v>563745</v>
      </c>
      <c r="O58" s="7">
        <f>IF(AND(Table1[[#This Row],[Clean_Shortage]]&gt;0,Table1[[#This Row],[Lead_Time_Days]]&gt;10),1,0)</f>
        <v>0</v>
      </c>
    </row>
    <row r="59" spans="1:15" hidden="1" x14ac:dyDescent="0.3">
      <c r="A59" t="s">
        <v>69</v>
      </c>
      <c r="B59" t="s">
        <v>514</v>
      </c>
      <c r="C59" t="s">
        <v>518</v>
      </c>
      <c r="D59">
        <v>90</v>
      </c>
      <c r="E59">
        <v>58</v>
      </c>
      <c r="F59">
        <v>45</v>
      </c>
      <c r="G59">
        <v>3368</v>
      </c>
      <c r="H59">
        <v>6</v>
      </c>
      <c r="I59" s="1">
        <v>44984</v>
      </c>
      <c r="J59" s="7">
        <f>Table1[[#This Row],[Required_Qty]]-Table1[[#This Row],[Available_Qty]]</f>
        <v>32</v>
      </c>
      <c r="K59" s="7">
        <v>-32</v>
      </c>
      <c r="L59" s="7">
        <f>IF(Table1[[#This Row],[Required_Qty]]&gt;Table1[[#This Row],[Available_Qty]],Table1[[#This Row],[Required_Qty]]-Table1[[#This Row],[Available_Qty]],0)</f>
        <v>32</v>
      </c>
      <c r="M59" s="7">
        <f>IF(Table1[[#This Row],[Required_Qty]]&lt;Table1[[#This Row],[Available_Qty]],Table1[[#This Row],[Available_Qty]]-Table1[[#This Row],[Required_Qty]],0)</f>
        <v>0</v>
      </c>
      <c r="N59">
        <v>151560</v>
      </c>
      <c r="O59" s="7">
        <f>IF(AND(Table1[[#This Row],[Clean_Shortage]]&gt;0,Table1[[#This Row],[Lead_Time_Days]]&gt;10),1,0)</f>
        <v>0</v>
      </c>
    </row>
    <row r="60" spans="1:15" hidden="1" x14ac:dyDescent="0.3">
      <c r="A60" t="s">
        <v>70</v>
      </c>
      <c r="B60" t="s">
        <v>512</v>
      </c>
      <c r="C60" t="s">
        <v>517</v>
      </c>
      <c r="D60">
        <v>35</v>
      </c>
      <c r="E60">
        <v>111</v>
      </c>
      <c r="F60">
        <v>16</v>
      </c>
      <c r="G60">
        <v>1285</v>
      </c>
      <c r="H60">
        <v>7</v>
      </c>
      <c r="I60" s="1">
        <v>44985</v>
      </c>
      <c r="J60" s="7">
        <f>Table1[[#This Row],[Required_Qty]]-Table1[[#This Row],[Available_Qty]]</f>
        <v>-76</v>
      </c>
      <c r="K60" s="7">
        <v>76</v>
      </c>
      <c r="L60" s="7">
        <f>IF(Table1[[#This Row],[Required_Qty]]&gt;Table1[[#This Row],[Available_Qty]],Table1[[#This Row],[Required_Qty]]-Table1[[#This Row],[Available_Qty]],0)</f>
        <v>0</v>
      </c>
      <c r="M60" s="7">
        <f>IF(Table1[[#This Row],[Required_Qty]]&lt;Table1[[#This Row],[Available_Qty]],Table1[[#This Row],[Available_Qty]]-Table1[[#This Row],[Required_Qty]],0)</f>
        <v>76</v>
      </c>
      <c r="N60">
        <v>20560</v>
      </c>
      <c r="O60" s="7">
        <f>IF(AND(Table1[[#This Row],[Clean_Shortage]]&gt;0,Table1[[#This Row],[Lead_Time_Days]]&gt;10),1,0)</f>
        <v>0</v>
      </c>
    </row>
    <row r="61" spans="1:15" hidden="1" x14ac:dyDescent="0.3">
      <c r="A61" t="s">
        <v>71</v>
      </c>
      <c r="B61" t="s">
        <v>514</v>
      </c>
      <c r="C61" t="s">
        <v>518</v>
      </c>
      <c r="D61">
        <v>45</v>
      </c>
      <c r="E61">
        <v>69</v>
      </c>
      <c r="F61">
        <v>52</v>
      </c>
      <c r="G61">
        <v>1148</v>
      </c>
      <c r="H61">
        <v>4</v>
      </c>
      <c r="I61" s="1">
        <v>44986</v>
      </c>
      <c r="J61" s="7">
        <f>Table1[[#This Row],[Required_Qty]]-Table1[[#This Row],[Available_Qty]]</f>
        <v>-24</v>
      </c>
      <c r="K61" s="7">
        <v>24</v>
      </c>
      <c r="L61" s="7">
        <f>IF(Table1[[#This Row],[Required_Qty]]&gt;Table1[[#This Row],[Available_Qty]],Table1[[#This Row],[Required_Qty]]-Table1[[#This Row],[Available_Qty]],0)</f>
        <v>0</v>
      </c>
      <c r="M61" s="7">
        <f>IF(Table1[[#This Row],[Required_Qty]]&lt;Table1[[#This Row],[Available_Qty]],Table1[[#This Row],[Available_Qty]]-Table1[[#This Row],[Required_Qty]],0)</f>
        <v>24</v>
      </c>
      <c r="N61">
        <v>59696</v>
      </c>
      <c r="O61" s="7">
        <f>IF(AND(Table1[[#This Row],[Clean_Shortage]]&gt;0,Table1[[#This Row],[Lead_Time_Days]]&gt;10),1,0)</f>
        <v>0</v>
      </c>
    </row>
    <row r="62" spans="1:15" hidden="1" x14ac:dyDescent="0.3">
      <c r="A62" t="s">
        <v>72</v>
      </c>
      <c r="B62" t="s">
        <v>512</v>
      </c>
      <c r="C62" t="s">
        <v>518</v>
      </c>
      <c r="D62">
        <v>10</v>
      </c>
      <c r="E62">
        <v>55</v>
      </c>
      <c r="F62">
        <v>7</v>
      </c>
      <c r="G62">
        <v>5037</v>
      </c>
      <c r="H62">
        <v>7</v>
      </c>
      <c r="I62" s="1">
        <v>44987</v>
      </c>
      <c r="J62" s="7">
        <f>Table1[[#This Row],[Required_Qty]]-Table1[[#This Row],[Available_Qty]]</f>
        <v>-45</v>
      </c>
      <c r="K62" s="7">
        <v>45</v>
      </c>
      <c r="L62" s="7">
        <f>IF(Table1[[#This Row],[Required_Qty]]&gt;Table1[[#This Row],[Available_Qty]],Table1[[#This Row],[Required_Qty]]-Table1[[#This Row],[Available_Qty]],0)</f>
        <v>0</v>
      </c>
      <c r="M62" s="7">
        <f>IF(Table1[[#This Row],[Required_Qty]]&lt;Table1[[#This Row],[Available_Qty]],Table1[[#This Row],[Available_Qty]]-Table1[[#This Row],[Required_Qty]],0)</f>
        <v>45</v>
      </c>
      <c r="N62">
        <v>35259</v>
      </c>
      <c r="O62" s="7">
        <f>IF(AND(Table1[[#This Row],[Clean_Shortage]]&gt;0,Table1[[#This Row],[Lead_Time_Days]]&gt;10),1,0)</f>
        <v>0</v>
      </c>
    </row>
    <row r="63" spans="1:15" hidden="1" x14ac:dyDescent="0.3">
      <c r="A63" t="s">
        <v>73</v>
      </c>
      <c r="B63" t="s">
        <v>512</v>
      </c>
      <c r="C63" t="s">
        <v>518</v>
      </c>
      <c r="D63">
        <v>17</v>
      </c>
      <c r="E63">
        <v>57</v>
      </c>
      <c r="F63">
        <v>78</v>
      </c>
      <c r="G63">
        <v>7549</v>
      </c>
      <c r="H63">
        <v>9</v>
      </c>
      <c r="I63" s="1">
        <v>44988</v>
      </c>
      <c r="J63" s="7">
        <f>Table1[[#This Row],[Required_Qty]]-Table1[[#This Row],[Available_Qty]]</f>
        <v>-40</v>
      </c>
      <c r="K63" s="7">
        <v>40</v>
      </c>
      <c r="L63" s="7">
        <f>IF(Table1[[#This Row],[Required_Qty]]&gt;Table1[[#This Row],[Available_Qty]],Table1[[#This Row],[Required_Qty]]-Table1[[#This Row],[Available_Qty]],0)</f>
        <v>0</v>
      </c>
      <c r="M63" s="7">
        <f>IF(Table1[[#This Row],[Required_Qty]]&lt;Table1[[#This Row],[Available_Qty]],Table1[[#This Row],[Available_Qty]]-Table1[[#This Row],[Required_Qty]],0)</f>
        <v>40</v>
      </c>
      <c r="N63">
        <v>588822</v>
      </c>
      <c r="O63" s="7">
        <f>IF(AND(Table1[[#This Row],[Clean_Shortage]]&gt;0,Table1[[#This Row],[Lead_Time_Days]]&gt;10),1,0)</f>
        <v>0</v>
      </c>
    </row>
    <row r="64" spans="1:15" x14ac:dyDescent="0.3">
      <c r="A64" t="s">
        <v>74</v>
      </c>
      <c r="B64" t="s">
        <v>514</v>
      </c>
      <c r="C64" t="s">
        <v>518</v>
      </c>
      <c r="D64">
        <v>61</v>
      </c>
      <c r="E64">
        <v>40</v>
      </c>
      <c r="F64">
        <v>26</v>
      </c>
      <c r="G64">
        <v>8121</v>
      </c>
      <c r="H64">
        <v>11</v>
      </c>
      <c r="I64" s="1">
        <v>44989</v>
      </c>
      <c r="J64" s="7">
        <f>Table1[[#This Row],[Required_Qty]]-Table1[[#This Row],[Available_Qty]]</f>
        <v>21</v>
      </c>
      <c r="K64" s="7">
        <v>-21</v>
      </c>
      <c r="L64" s="7">
        <f>IF(Table1[[#This Row],[Required_Qty]]&gt;Table1[[#This Row],[Available_Qty]],Table1[[#This Row],[Required_Qty]]-Table1[[#This Row],[Available_Qty]],0)</f>
        <v>21</v>
      </c>
      <c r="M64" s="7">
        <f>IF(Table1[[#This Row],[Required_Qty]]&lt;Table1[[#This Row],[Available_Qty]],Table1[[#This Row],[Available_Qty]]-Table1[[#This Row],[Required_Qty]],0)</f>
        <v>0</v>
      </c>
      <c r="N64">
        <v>211146</v>
      </c>
      <c r="O64" s="7">
        <f>IF(AND(Table1[[#This Row],[Clean_Shortage]]&gt;0,Table1[[#This Row],[Lead_Time_Days]]&gt;10),1,0)</f>
        <v>1</v>
      </c>
    </row>
    <row r="65" spans="1:15" hidden="1" x14ac:dyDescent="0.3">
      <c r="A65" t="s">
        <v>75</v>
      </c>
      <c r="B65" t="s">
        <v>514</v>
      </c>
      <c r="C65" t="s">
        <v>517</v>
      </c>
      <c r="D65">
        <v>88</v>
      </c>
      <c r="E65">
        <v>119</v>
      </c>
      <c r="F65">
        <v>45</v>
      </c>
      <c r="G65">
        <v>5895</v>
      </c>
      <c r="H65">
        <v>2</v>
      </c>
      <c r="I65" s="1">
        <v>44990</v>
      </c>
      <c r="J65" s="7">
        <f>Table1[[#This Row],[Required_Qty]]-Table1[[#This Row],[Available_Qty]]</f>
        <v>-31</v>
      </c>
      <c r="K65" s="7">
        <v>31</v>
      </c>
      <c r="L65" s="7">
        <f>IF(Table1[[#This Row],[Required_Qty]]&gt;Table1[[#This Row],[Available_Qty]],Table1[[#This Row],[Required_Qty]]-Table1[[#This Row],[Available_Qty]],0)</f>
        <v>0</v>
      </c>
      <c r="M65" s="7">
        <f>IF(Table1[[#This Row],[Required_Qty]]&lt;Table1[[#This Row],[Available_Qty]],Table1[[#This Row],[Available_Qty]]-Table1[[#This Row],[Required_Qty]],0)</f>
        <v>31</v>
      </c>
      <c r="N65">
        <v>265275</v>
      </c>
      <c r="O65" s="7">
        <f>IF(AND(Table1[[#This Row],[Clean_Shortage]]&gt;0,Table1[[#This Row],[Lead_Time_Days]]&gt;10),1,0)</f>
        <v>0</v>
      </c>
    </row>
    <row r="66" spans="1:15" x14ac:dyDescent="0.3">
      <c r="A66" t="s">
        <v>76</v>
      </c>
      <c r="B66" t="s">
        <v>512</v>
      </c>
      <c r="C66" t="s">
        <v>518</v>
      </c>
      <c r="D66">
        <v>56</v>
      </c>
      <c r="E66">
        <v>30</v>
      </c>
      <c r="F66">
        <v>49</v>
      </c>
      <c r="G66">
        <v>6280</v>
      </c>
      <c r="H66">
        <v>11</v>
      </c>
      <c r="I66" s="1">
        <v>44991</v>
      </c>
      <c r="J66" s="7">
        <f>Table1[[#This Row],[Required_Qty]]-Table1[[#This Row],[Available_Qty]]</f>
        <v>26</v>
      </c>
      <c r="K66" s="7">
        <v>-26</v>
      </c>
      <c r="L66" s="7">
        <f>IF(Table1[[#This Row],[Required_Qty]]&gt;Table1[[#This Row],[Available_Qty]],Table1[[#This Row],[Required_Qty]]-Table1[[#This Row],[Available_Qty]],0)</f>
        <v>26</v>
      </c>
      <c r="M66" s="7">
        <f>IF(Table1[[#This Row],[Required_Qty]]&lt;Table1[[#This Row],[Available_Qty]],Table1[[#This Row],[Available_Qty]]-Table1[[#This Row],[Required_Qty]],0)</f>
        <v>0</v>
      </c>
      <c r="N66">
        <v>307720</v>
      </c>
      <c r="O66" s="7">
        <f>IF(AND(Table1[[#This Row],[Clean_Shortage]]&gt;0,Table1[[#This Row],[Lead_Time_Days]]&gt;10),1,0)</f>
        <v>1</v>
      </c>
    </row>
    <row r="67" spans="1:15" hidden="1" x14ac:dyDescent="0.3">
      <c r="A67" t="s">
        <v>77</v>
      </c>
      <c r="B67" t="s">
        <v>515</v>
      </c>
      <c r="C67" t="s">
        <v>518</v>
      </c>
      <c r="D67">
        <v>65</v>
      </c>
      <c r="E67">
        <v>33</v>
      </c>
      <c r="F67">
        <v>70</v>
      </c>
      <c r="G67">
        <v>2012</v>
      </c>
      <c r="H67">
        <v>3</v>
      </c>
      <c r="I67" s="1">
        <v>44992</v>
      </c>
      <c r="J67" s="7">
        <f>Table1[[#This Row],[Required_Qty]]-Table1[[#This Row],[Available_Qty]]</f>
        <v>32</v>
      </c>
      <c r="K67" s="7">
        <v>-32</v>
      </c>
      <c r="L67" s="7">
        <f>IF(Table1[[#This Row],[Required_Qty]]&gt;Table1[[#This Row],[Available_Qty]],Table1[[#This Row],[Required_Qty]]-Table1[[#This Row],[Available_Qty]],0)</f>
        <v>32</v>
      </c>
      <c r="M67" s="7">
        <f>IF(Table1[[#This Row],[Required_Qty]]&lt;Table1[[#This Row],[Available_Qty]],Table1[[#This Row],[Available_Qty]]-Table1[[#This Row],[Required_Qty]],0)</f>
        <v>0</v>
      </c>
      <c r="N67">
        <v>140840</v>
      </c>
      <c r="O67" s="7">
        <f>IF(AND(Table1[[#This Row],[Clean_Shortage]]&gt;0,Table1[[#This Row],[Lead_Time_Days]]&gt;10),1,0)</f>
        <v>0</v>
      </c>
    </row>
    <row r="68" spans="1:15" hidden="1" x14ac:dyDescent="0.3">
      <c r="A68" t="s">
        <v>78</v>
      </c>
      <c r="B68" t="s">
        <v>513</v>
      </c>
      <c r="C68" t="s">
        <v>516</v>
      </c>
      <c r="D68">
        <v>95</v>
      </c>
      <c r="E68">
        <v>25</v>
      </c>
      <c r="F68">
        <v>2</v>
      </c>
      <c r="G68">
        <v>3785</v>
      </c>
      <c r="H68">
        <v>5</v>
      </c>
      <c r="I68" s="1">
        <v>44993</v>
      </c>
      <c r="J68" s="7">
        <f>Table1[[#This Row],[Required_Qty]]-Table1[[#This Row],[Available_Qty]]</f>
        <v>70</v>
      </c>
      <c r="K68" s="7">
        <v>-70</v>
      </c>
      <c r="L68" s="7">
        <f>IF(Table1[[#This Row],[Required_Qty]]&gt;Table1[[#This Row],[Available_Qty]],Table1[[#This Row],[Required_Qty]]-Table1[[#This Row],[Available_Qty]],0)</f>
        <v>70</v>
      </c>
      <c r="M68" s="7">
        <f>IF(Table1[[#This Row],[Required_Qty]]&lt;Table1[[#This Row],[Available_Qty]],Table1[[#This Row],[Available_Qty]]-Table1[[#This Row],[Required_Qty]],0)</f>
        <v>0</v>
      </c>
      <c r="N68">
        <v>7570</v>
      </c>
      <c r="O68" s="7">
        <f>IF(AND(Table1[[#This Row],[Clean_Shortage]]&gt;0,Table1[[#This Row],[Lead_Time_Days]]&gt;10),1,0)</f>
        <v>0</v>
      </c>
    </row>
    <row r="69" spans="1:15" hidden="1" x14ac:dyDescent="0.3">
      <c r="A69" t="s">
        <v>79</v>
      </c>
      <c r="B69" t="s">
        <v>514</v>
      </c>
      <c r="C69" t="s">
        <v>518</v>
      </c>
      <c r="D69">
        <v>23</v>
      </c>
      <c r="E69">
        <v>15</v>
      </c>
      <c r="F69">
        <v>63</v>
      </c>
      <c r="G69">
        <v>4725</v>
      </c>
      <c r="H69">
        <v>3</v>
      </c>
      <c r="I69" s="1">
        <v>44994</v>
      </c>
      <c r="J69" s="7">
        <f>Table1[[#This Row],[Required_Qty]]-Table1[[#This Row],[Available_Qty]]</f>
        <v>8</v>
      </c>
      <c r="K69" s="7">
        <v>-8</v>
      </c>
      <c r="L69" s="7">
        <f>IF(Table1[[#This Row],[Required_Qty]]&gt;Table1[[#This Row],[Available_Qty]],Table1[[#This Row],[Required_Qty]]-Table1[[#This Row],[Available_Qty]],0)</f>
        <v>8</v>
      </c>
      <c r="M69" s="7">
        <f>IF(Table1[[#This Row],[Required_Qty]]&lt;Table1[[#This Row],[Available_Qty]],Table1[[#This Row],[Available_Qty]]-Table1[[#This Row],[Required_Qty]],0)</f>
        <v>0</v>
      </c>
      <c r="N69">
        <v>297675</v>
      </c>
      <c r="O69" s="7">
        <f>IF(AND(Table1[[#This Row],[Clean_Shortage]]&gt;0,Table1[[#This Row],[Lead_Time_Days]]&gt;10),1,0)</f>
        <v>0</v>
      </c>
    </row>
    <row r="70" spans="1:15" x14ac:dyDescent="0.3">
      <c r="A70" t="s">
        <v>80</v>
      </c>
      <c r="B70" t="s">
        <v>513</v>
      </c>
      <c r="C70" t="s">
        <v>516</v>
      </c>
      <c r="D70">
        <v>99</v>
      </c>
      <c r="E70">
        <v>44</v>
      </c>
      <c r="F70">
        <v>43</v>
      </c>
      <c r="G70">
        <v>5576</v>
      </c>
      <c r="H70">
        <v>11</v>
      </c>
      <c r="I70" s="1">
        <v>44995</v>
      </c>
      <c r="J70" s="7">
        <f>Table1[[#This Row],[Required_Qty]]-Table1[[#This Row],[Available_Qty]]</f>
        <v>55</v>
      </c>
      <c r="K70" s="7">
        <v>-55</v>
      </c>
      <c r="L70" s="7">
        <f>IF(Table1[[#This Row],[Required_Qty]]&gt;Table1[[#This Row],[Available_Qty]],Table1[[#This Row],[Required_Qty]]-Table1[[#This Row],[Available_Qty]],0)</f>
        <v>55</v>
      </c>
      <c r="M70" s="7">
        <f>IF(Table1[[#This Row],[Required_Qty]]&lt;Table1[[#This Row],[Available_Qty]],Table1[[#This Row],[Available_Qty]]-Table1[[#This Row],[Required_Qty]],0)</f>
        <v>0</v>
      </c>
      <c r="N70">
        <v>239768</v>
      </c>
      <c r="O70" s="7">
        <f>IF(AND(Table1[[#This Row],[Clean_Shortage]]&gt;0,Table1[[#This Row],[Lead_Time_Days]]&gt;10),1,0)</f>
        <v>1</v>
      </c>
    </row>
    <row r="71" spans="1:15" hidden="1" x14ac:dyDescent="0.3">
      <c r="A71" t="s">
        <v>81</v>
      </c>
      <c r="B71" t="s">
        <v>515</v>
      </c>
      <c r="C71" t="s">
        <v>517</v>
      </c>
      <c r="D71">
        <v>37</v>
      </c>
      <c r="E71">
        <v>15</v>
      </c>
      <c r="F71">
        <v>52</v>
      </c>
      <c r="G71">
        <v>6782</v>
      </c>
      <c r="H71">
        <v>8</v>
      </c>
      <c r="I71" s="1">
        <v>44996</v>
      </c>
      <c r="J71" s="7">
        <f>Table1[[#This Row],[Required_Qty]]-Table1[[#This Row],[Available_Qty]]</f>
        <v>22</v>
      </c>
      <c r="K71" s="7">
        <v>-22</v>
      </c>
      <c r="L71" s="7">
        <f>IF(Table1[[#This Row],[Required_Qty]]&gt;Table1[[#This Row],[Available_Qty]],Table1[[#This Row],[Required_Qty]]-Table1[[#This Row],[Available_Qty]],0)</f>
        <v>22</v>
      </c>
      <c r="M71" s="7">
        <f>IF(Table1[[#This Row],[Required_Qty]]&lt;Table1[[#This Row],[Available_Qty]],Table1[[#This Row],[Available_Qty]]-Table1[[#This Row],[Required_Qty]],0)</f>
        <v>0</v>
      </c>
      <c r="N71">
        <v>352664</v>
      </c>
      <c r="O71" s="7">
        <f>IF(AND(Table1[[#This Row],[Clean_Shortage]]&gt;0,Table1[[#This Row],[Lead_Time_Days]]&gt;10),1,0)</f>
        <v>0</v>
      </c>
    </row>
    <row r="72" spans="1:15" x14ac:dyDescent="0.3">
      <c r="A72" t="s">
        <v>82</v>
      </c>
      <c r="B72" t="s">
        <v>515</v>
      </c>
      <c r="C72" t="s">
        <v>517</v>
      </c>
      <c r="D72">
        <v>96</v>
      </c>
      <c r="E72">
        <v>40</v>
      </c>
      <c r="F72">
        <v>23</v>
      </c>
      <c r="G72">
        <v>7257</v>
      </c>
      <c r="H72">
        <v>12</v>
      </c>
      <c r="I72" s="1">
        <v>44997</v>
      </c>
      <c r="J72" s="7">
        <f>Table1[[#This Row],[Required_Qty]]-Table1[[#This Row],[Available_Qty]]</f>
        <v>56</v>
      </c>
      <c r="K72" s="7">
        <v>-56</v>
      </c>
      <c r="L72" s="7">
        <f>IF(Table1[[#This Row],[Required_Qty]]&gt;Table1[[#This Row],[Available_Qty]],Table1[[#This Row],[Required_Qty]]-Table1[[#This Row],[Available_Qty]],0)</f>
        <v>56</v>
      </c>
      <c r="M72" s="7">
        <f>IF(Table1[[#This Row],[Required_Qty]]&lt;Table1[[#This Row],[Available_Qty]],Table1[[#This Row],[Available_Qty]]-Table1[[#This Row],[Required_Qty]],0)</f>
        <v>0</v>
      </c>
      <c r="N72">
        <v>166911</v>
      </c>
      <c r="O72" s="7">
        <f>IF(AND(Table1[[#This Row],[Clean_Shortage]]&gt;0,Table1[[#This Row],[Lead_Time_Days]]&gt;10),1,0)</f>
        <v>1</v>
      </c>
    </row>
    <row r="73" spans="1:15" hidden="1" x14ac:dyDescent="0.3">
      <c r="A73" t="s">
        <v>83</v>
      </c>
      <c r="B73" t="s">
        <v>515</v>
      </c>
      <c r="C73" t="s">
        <v>517</v>
      </c>
      <c r="D73">
        <v>87</v>
      </c>
      <c r="E73">
        <v>117</v>
      </c>
      <c r="F73">
        <v>59</v>
      </c>
      <c r="G73">
        <v>3408</v>
      </c>
      <c r="H73">
        <v>10</v>
      </c>
      <c r="I73" s="1">
        <v>44998</v>
      </c>
      <c r="J73" s="7">
        <f>Table1[[#This Row],[Required_Qty]]-Table1[[#This Row],[Available_Qty]]</f>
        <v>-30</v>
      </c>
      <c r="K73" s="7">
        <v>30</v>
      </c>
      <c r="L73" s="7">
        <f>IF(Table1[[#This Row],[Required_Qty]]&gt;Table1[[#This Row],[Available_Qty]],Table1[[#This Row],[Required_Qty]]-Table1[[#This Row],[Available_Qty]],0)</f>
        <v>0</v>
      </c>
      <c r="M73" s="7">
        <f>IF(Table1[[#This Row],[Required_Qty]]&lt;Table1[[#This Row],[Available_Qty]],Table1[[#This Row],[Available_Qty]]-Table1[[#This Row],[Required_Qty]],0)</f>
        <v>30</v>
      </c>
      <c r="N73">
        <v>201072</v>
      </c>
      <c r="O73" s="7">
        <f>IF(AND(Table1[[#This Row],[Clean_Shortage]]&gt;0,Table1[[#This Row],[Lead_Time_Days]]&gt;10),1,0)</f>
        <v>0</v>
      </c>
    </row>
    <row r="74" spans="1:15" hidden="1" x14ac:dyDescent="0.3">
      <c r="A74" t="s">
        <v>84</v>
      </c>
      <c r="B74" t="s">
        <v>514</v>
      </c>
      <c r="C74" t="s">
        <v>517</v>
      </c>
      <c r="D74">
        <v>97</v>
      </c>
      <c r="E74">
        <v>63</v>
      </c>
      <c r="F74">
        <v>2</v>
      </c>
      <c r="G74">
        <v>1340</v>
      </c>
      <c r="H74">
        <v>8</v>
      </c>
      <c r="I74" s="1">
        <v>44999</v>
      </c>
      <c r="J74" s="7">
        <f>Table1[[#This Row],[Required_Qty]]-Table1[[#This Row],[Available_Qty]]</f>
        <v>34</v>
      </c>
      <c r="K74" s="7">
        <v>-34</v>
      </c>
      <c r="L74" s="7">
        <f>IF(Table1[[#This Row],[Required_Qty]]&gt;Table1[[#This Row],[Available_Qty]],Table1[[#This Row],[Required_Qty]]-Table1[[#This Row],[Available_Qty]],0)</f>
        <v>34</v>
      </c>
      <c r="M74" s="7">
        <f>IF(Table1[[#This Row],[Required_Qty]]&lt;Table1[[#This Row],[Available_Qty]],Table1[[#This Row],[Available_Qty]]-Table1[[#This Row],[Required_Qty]],0)</f>
        <v>0</v>
      </c>
      <c r="N74">
        <v>2680</v>
      </c>
      <c r="O74" s="7">
        <f>IF(AND(Table1[[#This Row],[Clean_Shortage]]&gt;0,Table1[[#This Row],[Lead_Time_Days]]&gt;10),1,0)</f>
        <v>0</v>
      </c>
    </row>
    <row r="75" spans="1:15" hidden="1" x14ac:dyDescent="0.3">
      <c r="A75" t="s">
        <v>85</v>
      </c>
      <c r="B75" t="s">
        <v>515</v>
      </c>
      <c r="C75" t="s">
        <v>516</v>
      </c>
      <c r="D75">
        <v>11</v>
      </c>
      <c r="E75">
        <v>43</v>
      </c>
      <c r="F75">
        <v>19</v>
      </c>
      <c r="G75">
        <v>3817</v>
      </c>
      <c r="H75">
        <v>8</v>
      </c>
      <c r="I75" s="1">
        <v>45000</v>
      </c>
      <c r="J75" s="7">
        <f>Table1[[#This Row],[Required_Qty]]-Table1[[#This Row],[Available_Qty]]</f>
        <v>-32</v>
      </c>
      <c r="K75" s="7">
        <v>32</v>
      </c>
      <c r="L75" s="7">
        <f>IF(Table1[[#This Row],[Required_Qty]]&gt;Table1[[#This Row],[Available_Qty]],Table1[[#This Row],[Required_Qty]]-Table1[[#This Row],[Available_Qty]],0)</f>
        <v>0</v>
      </c>
      <c r="M75" s="7">
        <f>IF(Table1[[#This Row],[Required_Qty]]&lt;Table1[[#This Row],[Available_Qty]],Table1[[#This Row],[Available_Qty]]-Table1[[#This Row],[Required_Qty]],0)</f>
        <v>32</v>
      </c>
      <c r="N75">
        <v>72523</v>
      </c>
      <c r="O75" s="7">
        <f>IF(AND(Table1[[#This Row],[Clean_Shortage]]&gt;0,Table1[[#This Row],[Lead_Time_Days]]&gt;10),1,0)</f>
        <v>0</v>
      </c>
    </row>
    <row r="76" spans="1:15" hidden="1" x14ac:dyDescent="0.3">
      <c r="A76" t="s">
        <v>86</v>
      </c>
      <c r="B76" t="s">
        <v>514</v>
      </c>
      <c r="C76" t="s">
        <v>518</v>
      </c>
      <c r="D76">
        <v>35</v>
      </c>
      <c r="E76">
        <v>108</v>
      </c>
      <c r="F76">
        <v>45</v>
      </c>
      <c r="G76">
        <v>3496</v>
      </c>
      <c r="H76">
        <v>12</v>
      </c>
      <c r="I76" s="1">
        <v>45001</v>
      </c>
      <c r="J76" s="7">
        <f>Table1[[#This Row],[Required_Qty]]-Table1[[#This Row],[Available_Qty]]</f>
        <v>-73</v>
      </c>
      <c r="K76" s="7">
        <v>73</v>
      </c>
      <c r="L76" s="7">
        <f>IF(Table1[[#This Row],[Required_Qty]]&gt;Table1[[#This Row],[Available_Qty]],Table1[[#This Row],[Required_Qty]]-Table1[[#This Row],[Available_Qty]],0)</f>
        <v>0</v>
      </c>
      <c r="M76" s="7">
        <f>IF(Table1[[#This Row],[Required_Qty]]&lt;Table1[[#This Row],[Available_Qty]],Table1[[#This Row],[Available_Qty]]-Table1[[#This Row],[Required_Qty]],0)</f>
        <v>73</v>
      </c>
      <c r="N76">
        <v>157320</v>
      </c>
      <c r="O76" s="7">
        <f>IF(AND(Table1[[#This Row],[Clean_Shortage]]&gt;0,Table1[[#This Row],[Lead_Time_Days]]&gt;10),1,0)</f>
        <v>0</v>
      </c>
    </row>
    <row r="77" spans="1:15" hidden="1" x14ac:dyDescent="0.3">
      <c r="A77" t="s">
        <v>87</v>
      </c>
      <c r="B77" t="s">
        <v>515</v>
      </c>
      <c r="C77" t="s">
        <v>517</v>
      </c>
      <c r="D77">
        <v>23</v>
      </c>
      <c r="E77">
        <v>103</v>
      </c>
      <c r="F77">
        <v>14</v>
      </c>
      <c r="G77">
        <v>6962</v>
      </c>
      <c r="H77">
        <v>12</v>
      </c>
      <c r="I77" s="1">
        <v>45002</v>
      </c>
      <c r="J77" s="7">
        <f>Table1[[#This Row],[Required_Qty]]-Table1[[#This Row],[Available_Qty]]</f>
        <v>-80</v>
      </c>
      <c r="K77" s="7">
        <v>80</v>
      </c>
      <c r="L77" s="7">
        <f>IF(Table1[[#This Row],[Required_Qty]]&gt;Table1[[#This Row],[Available_Qty]],Table1[[#This Row],[Required_Qty]]-Table1[[#This Row],[Available_Qty]],0)</f>
        <v>0</v>
      </c>
      <c r="M77" s="7">
        <f>IF(Table1[[#This Row],[Required_Qty]]&lt;Table1[[#This Row],[Available_Qty]],Table1[[#This Row],[Available_Qty]]-Table1[[#This Row],[Required_Qty]],0)</f>
        <v>80</v>
      </c>
      <c r="N77">
        <v>97468</v>
      </c>
      <c r="O77" s="7">
        <f>IF(AND(Table1[[#This Row],[Clean_Shortage]]&gt;0,Table1[[#This Row],[Lead_Time_Days]]&gt;10),1,0)</f>
        <v>0</v>
      </c>
    </row>
    <row r="78" spans="1:15" hidden="1" x14ac:dyDescent="0.3">
      <c r="A78" t="s">
        <v>88</v>
      </c>
      <c r="B78" t="s">
        <v>513</v>
      </c>
      <c r="C78" t="s">
        <v>518</v>
      </c>
      <c r="D78">
        <v>68</v>
      </c>
      <c r="E78">
        <v>58</v>
      </c>
      <c r="F78">
        <v>24</v>
      </c>
      <c r="G78">
        <v>6299</v>
      </c>
      <c r="H78">
        <v>9</v>
      </c>
      <c r="I78" s="1">
        <v>45003</v>
      </c>
      <c r="J78" s="7">
        <f>Table1[[#This Row],[Required_Qty]]-Table1[[#This Row],[Available_Qty]]</f>
        <v>10</v>
      </c>
      <c r="K78" s="7">
        <v>-10</v>
      </c>
      <c r="L78" s="7">
        <f>IF(Table1[[#This Row],[Required_Qty]]&gt;Table1[[#This Row],[Available_Qty]],Table1[[#This Row],[Required_Qty]]-Table1[[#This Row],[Available_Qty]],0)</f>
        <v>10</v>
      </c>
      <c r="M78" s="7">
        <f>IF(Table1[[#This Row],[Required_Qty]]&lt;Table1[[#This Row],[Available_Qty]],Table1[[#This Row],[Available_Qty]]-Table1[[#This Row],[Required_Qty]],0)</f>
        <v>0</v>
      </c>
      <c r="N78">
        <v>151176</v>
      </c>
      <c r="O78" s="7">
        <f>IF(AND(Table1[[#This Row],[Clean_Shortage]]&gt;0,Table1[[#This Row],[Lead_Time_Days]]&gt;10),1,0)</f>
        <v>0</v>
      </c>
    </row>
    <row r="79" spans="1:15" hidden="1" x14ac:dyDescent="0.3">
      <c r="A79" t="s">
        <v>89</v>
      </c>
      <c r="B79" t="s">
        <v>513</v>
      </c>
      <c r="C79" t="s">
        <v>516</v>
      </c>
      <c r="D79">
        <v>65</v>
      </c>
      <c r="E79">
        <v>102</v>
      </c>
      <c r="F79">
        <v>77</v>
      </c>
      <c r="G79">
        <v>8574</v>
      </c>
      <c r="H79">
        <v>4</v>
      </c>
      <c r="I79" s="1">
        <v>45004</v>
      </c>
      <c r="J79" s="7">
        <f>Table1[[#This Row],[Required_Qty]]-Table1[[#This Row],[Available_Qty]]</f>
        <v>-37</v>
      </c>
      <c r="K79" s="7">
        <v>37</v>
      </c>
      <c r="L79" s="7">
        <f>IF(Table1[[#This Row],[Required_Qty]]&gt;Table1[[#This Row],[Available_Qty]],Table1[[#This Row],[Required_Qty]]-Table1[[#This Row],[Available_Qty]],0)</f>
        <v>0</v>
      </c>
      <c r="M79" s="7">
        <f>IF(Table1[[#This Row],[Required_Qty]]&lt;Table1[[#This Row],[Available_Qty]],Table1[[#This Row],[Available_Qty]]-Table1[[#This Row],[Required_Qty]],0)</f>
        <v>37</v>
      </c>
      <c r="N79">
        <v>660198</v>
      </c>
      <c r="O79" s="7">
        <f>IF(AND(Table1[[#This Row],[Clean_Shortage]]&gt;0,Table1[[#This Row],[Lead_Time_Days]]&gt;10),1,0)</f>
        <v>0</v>
      </c>
    </row>
    <row r="80" spans="1:15" hidden="1" x14ac:dyDescent="0.3">
      <c r="A80" t="s">
        <v>90</v>
      </c>
      <c r="B80" t="s">
        <v>512</v>
      </c>
      <c r="C80" t="s">
        <v>516</v>
      </c>
      <c r="D80">
        <v>16</v>
      </c>
      <c r="E80">
        <v>59</v>
      </c>
      <c r="F80">
        <v>70</v>
      </c>
      <c r="G80">
        <v>2689</v>
      </c>
      <c r="H80">
        <v>5</v>
      </c>
      <c r="I80" s="1">
        <v>45005</v>
      </c>
      <c r="J80" s="7">
        <f>Table1[[#This Row],[Required_Qty]]-Table1[[#This Row],[Available_Qty]]</f>
        <v>-43</v>
      </c>
      <c r="K80" s="7">
        <v>43</v>
      </c>
      <c r="L80" s="7">
        <f>IF(Table1[[#This Row],[Required_Qty]]&gt;Table1[[#This Row],[Available_Qty]],Table1[[#This Row],[Required_Qty]]-Table1[[#This Row],[Available_Qty]],0)</f>
        <v>0</v>
      </c>
      <c r="M80" s="7">
        <f>IF(Table1[[#This Row],[Required_Qty]]&lt;Table1[[#This Row],[Available_Qty]],Table1[[#This Row],[Available_Qty]]-Table1[[#This Row],[Required_Qty]],0)</f>
        <v>43</v>
      </c>
      <c r="N80">
        <v>188230</v>
      </c>
      <c r="O80" s="7">
        <f>IF(AND(Table1[[#This Row],[Clean_Shortage]]&gt;0,Table1[[#This Row],[Lead_Time_Days]]&gt;10),1,0)</f>
        <v>0</v>
      </c>
    </row>
    <row r="81" spans="1:15" hidden="1" x14ac:dyDescent="0.3">
      <c r="A81" t="s">
        <v>91</v>
      </c>
      <c r="B81" t="s">
        <v>513</v>
      </c>
      <c r="C81" t="s">
        <v>516</v>
      </c>
      <c r="D81">
        <v>12</v>
      </c>
      <c r="E81">
        <v>115</v>
      </c>
      <c r="F81">
        <v>16</v>
      </c>
      <c r="G81">
        <v>4267</v>
      </c>
      <c r="H81">
        <v>5</v>
      </c>
      <c r="I81" s="1">
        <v>45006</v>
      </c>
      <c r="J81" s="7">
        <f>Table1[[#This Row],[Required_Qty]]-Table1[[#This Row],[Available_Qty]]</f>
        <v>-103</v>
      </c>
      <c r="K81" s="7">
        <v>103</v>
      </c>
      <c r="L81" s="7">
        <f>IF(Table1[[#This Row],[Required_Qty]]&gt;Table1[[#This Row],[Available_Qty]],Table1[[#This Row],[Required_Qty]]-Table1[[#This Row],[Available_Qty]],0)</f>
        <v>0</v>
      </c>
      <c r="M81" s="7">
        <f>IF(Table1[[#This Row],[Required_Qty]]&lt;Table1[[#This Row],[Available_Qty]],Table1[[#This Row],[Available_Qty]]-Table1[[#This Row],[Required_Qty]],0)</f>
        <v>103</v>
      </c>
      <c r="N81">
        <v>68272</v>
      </c>
      <c r="O81" s="7">
        <f>IF(AND(Table1[[#This Row],[Clean_Shortage]]&gt;0,Table1[[#This Row],[Lead_Time_Days]]&gt;10),1,0)</f>
        <v>0</v>
      </c>
    </row>
    <row r="82" spans="1:15" hidden="1" x14ac:dyDescent="0.3">
      <c r="A82" t="s">
        <v>92</v>
      </c>
      <c r="B82" t="s">
        <v>512</v>
      </c>
      <c r="C82" t="s">
        <v>517</v>
      </c>
      <c r="D82">
        <v>32</v>
      </c>
      <c r="E82">
        <v>28</v>
      </c>
      <c r="F82">
        <v>8</v>
      </c>
      <c r="G82">
        <v>5406</v>
      </c>
      <c r="H82">
        <v>8</v>
      </c>
      <c r="I82" s="1">
        <v>45007</v>
      </c>
      <c r="J82" s="7">
        <f>Table1[[#This Row],[Required_Qty]]-Table1[[#This Row],[Available_Qty]]</f>
        <v>4</v>
      </c>
      <c r="K82" s="7">
        <v>-4</v>
      </c>
      <c r="L82" s="7">
        <f>IF(Table1[[#This Row],[Required_Qty]]&gt;Table1[[#This Row],[Available_Qty]],Table1[[#This Row],[Required_Qty]]-Table1[[#This Row],[Available_Qty]],0)</f>
        <v>4</v>
      </c>
      <c r="M82" s="7">
        <f>IF(Table1[[#This Row],[Required_Qty]]&lt;Table1[[#This Row],[Available_Qty]],Table1[[#This Row],[Available_Qty]]-Table1[[#This Row],[Required_Qty]],0)</f>
        <v>0</v>
      </c>
      <c r="N82">
        <v>43248</v>
      </c>
      <c r="O82" s="7">
        <f>IF(AND(Table1[[#This Row],[Clean_Shortage]]&gt;0,Table1[[#This Row],[Lead_Time_Days]]&gt;10),1,0)</f>
        <v>0</v>
      </c>
    </row>
    <row r="83" spans="1:15" hidden="1" x14ac:dyDescent="0.3">
      <c r="A83" t="s">
        <v>93</v>
      </c>
      <c r="B83" t="s">
        <v>513</v>
      </c>
      <c r="C83" t="s">
        <v>518</v>
      </c>
      <c r="D83">
        <v>27</v>
      </c>
      <c r="E83">
        <v>26</v>
      </c>
      <c r="F83">
        <v>37</v>
      </c>
      <c r="G83">
        <v>9453</v>
      </c>
      <c r="H83">
        <v>7</v>
      </c>
      <c r="I83" s="1">
        <v>45008</v>
      </c>
      <c r="J83" s="7">
        <f>Table1[[#This Row],[Required_Qty]]-Table1[[#This Row],[Available_Qty]]</f>
        <v>1</v>
      </c>
      <c r="K83" s="7">
        <v>-1</v>
      </c>
      <c r="L83" s="7">
        <f>IF(Table1[[#This Row],[Required_Qty]]&gt;Table1[[#This Row],[Available_Qty]],Table1[[#This Row],[Required_Qty]]-Table1[[#This Row],[Available_Qty]],0)</f>
        <v>1</v>
      </c>
      <c r="M83" s="7">
        <f>IF(Table1[[#This Row],[Required_Qty]]&lt;Table1[[#This Row],[Available_Qty]],Table1[[#This Row],[Available_Qty]]-Table1[[#This Row],[Required_Qty]],0)</f>
        <v>0</v>
      </c>
      <c r="N83">
        <v>349761</v>
      </c>
      <c r="O83" s="7">
        <f>IF(AND(Table1[[#This Row],[Clean_Shortage]]&gt;0,Table1[[#This Row],[Lead_Time_Days]]&gt;10),1,0)</f>
        <v>0</v>
      </c>
    </row>
    <row r="84" spans="1:15" hidden="1" x14ac:dyDescent="0.3">
      <c r="A84" t="s">
        <v>94</v>
      </c>
      <c r="B84" t="s">
        <v>514</v>
      </c>
      <c r="C84" t="s">
        <v>518</v>
      </c>
      <c r="D84">
        <v>47</v>
      </c>
      <c r="E84">
        <v>73</v>
      </c>
      <c r="F84">
        <v>47</v>
      </c>
      <c r="G84">
        <v>2442</v>
      </c>
      <c r="H84">
        <v>9</v>
      </c>
      <c r="I84" s="1">
        <v>45009</v>
      </c>
      <c r="J84" s="7">
        <f>Table1[[#This Row],[Required_Qty]]-Table1[[#This Row],[Available_Qty]]</f>
        <v>-26</v>
      </c>
      <c r="K84" s="7">
        <v>26</v>
      </c>
      <c r="L84" s="7">
        <f>IF(Table1[[#This Row],[Required_Qty]]&gt;Table1[[#This Row],[Available_Qty]],Table1[[#This Row],[Required_Qty]]-Table1[[#This Row],[Available_Qty]],0)</f>
        <v>0</v>
      </c>
      <c r="M84" s="7">
        <f>IF(Table1[[#This Row],[Required_Qty]]&lt;Table1[[#This Row],[Available_Qty]],Table1[[#This Row],[Available_Qty]]-Table1[[#This Row],[Required_Qty]],0)</f>
        <v>26</v>
      </c>
      <c r="N84">
        <v>114774</v>
      </c>
      <c r="O84" s="7">
        <f>IF(AND(Table1[[#This Row],[Clean_Shortage]]&gt;0,Table1[[#This Row],[Lead_Time_Days]]&gt;10),1,0)</f>
        <v>0</v>
      </c>
    </row>
    <row r="85" spans="1:15" hidden="1" x14ac:dyDescent="0.3">
      <c r="A85" t="s">
        <v>95</v>
      </c>
      <c r="B85" t="s">
        <v>513</v>
      </c>
      <c r="C85" t="s">
        <v>518</v>
      </c>
      <c r="D85">
        <v>24</v>
      </c>
      <c r="E85">
        <v>60</v>
      </c>
      <c r="F85">
        <v>59</v>
      </c>
      <c r="G85">
        <v>9597</v>
      </c>
      <c r="H85">
        <v>14</v>
      </c>
      <c r="I85" s="1">
        <v>45010</v>
      </c>
      <c r="J85" s="7">
        <f>Table1[[#This Row],[Required_Qty]]-Table1[[#This Row],[Available_Qty]]</f>
        <v>-36</v>
      </c>
      <c r="K85" s="7">
        <v>36</v>
      </c>
      <c r="L85" s="7">
        <f>IF(Table1[[#This Row],[Required_Qty]]&gt;Table1[[#This Row],[Available_Qty]],Table1[[#This Row],[Required_Qty]]-Table1[[#This Row],[Available_Qty]],0)</f>
        <v>0</v>
      </c>
      <c r="M85" s="7">
        <f>IF(Table1[[#This Row],[Required_Qty]]&lt;Table1[[#This Row],[Available_Qty]],Table1[[#This Row],[Available_Qty]]-Table1[[#This Row],[Required_Qty]],0)</f>
        <v>36</v>
      </c>
      <c r="N85">
        <v>566223</v>
      </c>
      <c r="O85" s="7">
        <f>IF(AND(Table1[[#This Row],[Clean_Shortage]]&gt;0,Table1[[#This Row],[Lead_Time_Days]]&gt;10),1,0)</f>
        <v>0</v>
      </c>
    </row>
    <row r="86" spans="1:15" hidden="1" x14ac:dyDescent="0.3">
      <c r="A86" t="s">
        <v>96</v>
      </c>
      <c r="B86" t="s">
        <v>512</v>
      </c>
      <c r="C86" t="s">
        <v>516</v>
      </c>
      <c r="D86">
        <v>73</v>
      </c>
      <c r="E86">
        <v>37</v>
      </c>
      <c r="F86">
        <v>62</v>
      </c>
      <c r="G86">
        <v>5437</v>
      </c>
      <c r="H86">
        <v>8</v>
      </c>
      <c r="I86" s="1">
        <v>45011</v>
      </c>
      <c r="J86" s="7">
        <f>Table1[[#This Row],[Required_Qty]]-Table1[[#This Row],[Available_Qty]]</f>
        <v>36</v>
      </c>
      <c r="K86" s="7">
        <v>-36</v>
      </c>
      <c r="L86" s="7">
        <f>IF(Table1[[#This Row],[Required_Qty]]&gt;Table1[[#This Row],[Available_Qty]],Table1[[#This Row],[Required_Qty]]-Table1[[#This Row],[Available_Qty]],0)</f>
        <v>36</v>
      </c>
      <c r="M86" s="7">
        <f>IF(Table1[[#This Row],[Required_Qty]]&lt;Table1[[#This Row],[Available_Qty]],Table1[[#This Row],[Available_Qty]]-Table1[[#This Row],[Required_Qty]],0)</f>
        <v>0</v>
      </c>
      <c r="N86">
        <v>337094</v>
      </c>
      <c r="O86" s="7">
        <f>IF(AND(Table1[[#This Row],[Clean_Shortage]]&gt;0,Table1[[#This Row],[Lead_Time_Days]]&gt;10),1,0)</f>
        <v>0</v>
      </c>
    </row>
    <row r="87" spans="1:15" hidden="1" x14ac:dyDescent="0.3">
      <c r="A87" t="s">
        <v>97</v>
      </c>
      <c r="B87" t="s">
        <v>512</v>
      </c>
      <c r="C87" t="s">
        <v>517</v>
      </c>
      <c r="D87">
        <v>98</v>
      </c>
      <c r="E87">
        <v>40</v>
      </c>
      <c r="F87">
        <v>1</v>
      </c>
      <c r="G87">
        <v>6435</v>
      </c>
      <c r="H87">
        <v>2</v>
      </c>
      <c r="I87" s="1">
        <v>45012</v>
      </c>
      <c r="J87" s="7">
        <f>Table1[[#This Row],[Required_Qty]]-Table1[[#This Row],[Available_Qty]]</f>
        <v>58</v>
      </c>
      <c r="K87" s="7">
        <v>-58</v>
      </c>
      <c r="L87" s="7">
        <f>IF(Table1[[#This Row],[Required_Qty]]&gt;Table1[[#This Row],[Available_Qty]],Table1[[#This Row],[Required_Qty]]-Table1[[#This Row],[Available_Qty]],0)</f>
        <v>58</v>
      </c>
      <c r="M87" s="7">
        <f>IF(Table1[[#This Row],[Required_Qty]]&lt;Table1[[#This Row],[Available_Qty]],Table1[[#This Row],[Available_Qty]]-Table1[[#This Row],[Required_Qty]],0)</f>
        <v>0</v>
      </c>
      <c r="N87">
        <v>6435</v>
      </c>
      <c r="O87" s="7">
        <f>IF(AND(Table1[[#This Row],[Clean_Shortage]]&gt;0,Table1[[#This Row],[Lead_Time_Days]]&gt;10),1,0)</f>
        <v>0</v>
      </c>
    </row>
    <row r="88" spans="1:15" hidden="1" x14ac:dyDescent="0.3">
      <c r="A88" t="s">
        <v>98</v>
      </c>
      <c r="B88" t="s">
        <v>515</v>
      </c>
      <c r="C88" t="s">
        <v>516</v>
      </c>
      <c r="D88">
        <v>37</v>
      </c>
      <c r="E88">
        <v>115</v>
      </c>
      <c r="F88">
        <v>71</v>
      </c>
      <c r="G88">
        <v>9435</v>
      </c>
      <c r="H88">
        <v>10</v>
      </c>
      <c r="I88" s="1">
        <v>45013</v>
      </c>
      <c r="J88" s="7">
        <f>Table1[[#This Row],[Required_Qty]]-Table1[[#This Row],[Available_Qty]]</f>
        <v>-78</v>
      </c>
      <c r="K88" s="7">
        <v>78</v>
      </c>
      <c r="L88" s="7">
        <f>IF(Table1[[#This Row],[Required_Qty]]&gt;Table1[[#This Row],[Available_Qty]],Table1[[#This Row],[Required_Qty]]-Table1[[#This Row],[Available_Qty]],0)</f>
        <v>0</v>
      </c>
      <c r="M88" s="7">
        <f>IF(Table1[[#This Row],[Required_Qty]]&lt;Table1[[#This Row],[Available_Qty]],Table1[[#This Row],[Available_Qty]]-Table1[[#This Row],[Required_Qty]],0)</f>
        <v>78</v>
      </c>
      <c r="N88">
        <v>669885</v>
      </c>
      <c r="O88" s="7">
        <f>IF(AND(Table1[[#This Row],[Clean_Shortage]]&gt;0,Table1[[#This Row],[Lead_Time_Days]]&gt;10),1,0)</f>
        <v>0</v>
      </c>
    </row>
    <row r="89" spans="1:15" x14ac:dyDescent="0.3">
      <c r="A89" t="s">
        <v>99</v>
      </c>
      <c r="B89" t="s">
        <v>514</v>
      </c>
      <c r="C89" t="s">
        <v>516</v>
      </c>
      <c r="D89">
        <v>83</v>
      </c>
      <c r="E89">
        <v>24</v>
      </c>
      <c r="F89">
        <v>10</v>
      </c>
      <c r="G89">
        <v>5107</v>
      </c>
      <c r="H89">
        <v>12</v>
      </c>
      <c r="I89" s="1">
        <v>45014</v>
      </c>
      <c r="J89" s="7">
        <f>Table1[[#This Row],[Required_Qty]]-Table1[[#This Row],[Available_Qty]]</f>
        <v>59</v>
      </c>
      <c r="K89" s="7">
        <v>-59</v>
      </c>
      <c r="L89" s="7">
        <f>IF(Table1[[#This Row],[Required_Qty]]&gt;Table1[[#This Row],[Available_Qty]],Table1[[#This Row],[Required_Qty]]-Table1[[#This Row],[Available_Qty]],0)</f>
        <v>59</v>
      </c>
      <c r="M89" s="7">
        <f>IF(Table1[[#This Row],[Required_Qty]]&lt;Table1[[#This Row],[Available_Qty]],Table1[[#This Row],[Available_Qty]]-Table1[[#This Row],[Required_Qty]],0)</f>
        <v>0</v>
      </c>
      <c r="N89">
        <v>51070</v>
      </c>
      <c r="O89" s="7">
        <f>IF(AND(Table1[[#This Row],[Clean_Shortage]]&gt;0,Table1[[#This Row],[Lead_Time_Days]]&gt;10),1,0)</f>
        <v>1</v>
      </c>
    </row>
    <row r="90" spans="1:15" hidden="1" x14ac:dyDescent="0.3">
      <c r="A90" t="s">
        <v>100</v>
      </c>
      <c r="B90" t="s">
        <v>513</v>
      </c>
      <c r="C90" t="s">
        <v>518</v>
      </c>
      <c r="D90">
        <v>48</v>
      </c>
      <c r="E90">
        <v>87</v>
      </c>
      <c r="F90">
        <v>63</v>
      </c>
      <c r="G90">
        <v>1560</v>
      </c>
      <c r="H90">
        <v>4</v>
      </c>
      <c r="I90" s="1">
        <v>45015</v>
      </c>
      <c r="J90" s="7">
        <f>Table1[[#This Row],[Required_Qty]]-Table1[[#This Row],[Available_Qty]]</f>
        <v>-39</v>
      </c>
      <c r="K90" s="7">
        <v>39</v>
      </c>
      <c r="L90" s="7">
        <f>IF(Table1[[#This Row],[Required_Qty]]&gt;Table1[[#This Row],[Available_Qty]],Table1[[#This Row],[Required_Qty]]-Table1[[#This Row],[Available_Qty]],0)</f>
        <v>0</v>
      </c>
      <c r="M90" s="7">
        <f>IF(Table1[[#This Row],[Required_Qty]]&lt;Table1[[#This Row],[Available_Qty]],Table1[[#This Row],[Available_Qty]]-Table1[[#This Row],[Required_Qty]],0)</f>
        <v>39</v>
      </c>
      <c r="N90">
        <v>98280</v>
      </c>
      <c r="O90" s="7">
        <f>IF(AND(Table1[[#This Row],[Clean_Shortage]]&gt;0,Table1[[#This Row],[Lead_Time_Days]]&gt;10),1,0)</f>
        <v>0</v>
      </c>
    </row>
    <row r="91" spans="1:15" hidden="1" x14ac:dyDescent="0.3">
      <c r="A91" t="s">
        <v>101</v>
      </c>
      <c r="B91" t="s">
        <v>515</v>
      </c>
      <c r="C91" t="s">
        <v>516</v>
      </c>
      <c r="D91">
        <v>66</v>
      </c>
      <c r="E91">
        <v>103</v>
      </c>
      <c r="F91">
        <v>76</v>
      </c>
      <c r="G91">
        <v>9785</v>
      </c>
      <c r="H91">
        <v>6</v>
      </c>
      <c r="I91" s="1">
        <v>45016</v>
      </c>
      <c r="J91" s="7">
        <f>Table1[[#This Row],[Required_Qty]]-Table1[[#This Row],[Available_Qty]]</f>
        <v>-37</v>
      </c>
      <c r="K91" s="7">
        <v>37</v>
      </c>
      <c r="L91" s="7">
        <f>IF(Table1[[#This Row],[Required_Qty]]&gt;Table1[[#This Row],[Available_Qty]],Table1[[#This Row],[Required_Qty]]-Table1[[#This Row],[Available_Qty]],0)</f>
        <v>0</v>
      </c>
      <c r="M91" s="7">
        <f>IF(Table1[[#This Row],[Required_Qty]]&lt;Table1[[#This Row],[Available_Qty]],Table1[[#This Row],[Available_Qty]]-Table1[[#This Row],[Required_Qty]],0)</f>
        <v>37</v>
      </c>
      <c r="N91">
        <v>743660</v>
      </c>
      <c r="O91" s="7">
        <f>IF(AND(Table1[[#This Row],[Clean_Shortage]]&gt;0,Table1[[#This Row],[Lead_Time_Days]]&gt;10),1,0)</f>
        <v>0</v>
      </c>
    </row>
    <row r="92" spans="1:15" hidden="1" x14ac:dyDescent="0.3">
      <c r="A92" t="s">
        <v>102</v>
      </c>
      <c r="B92" t="s">
        <v>513</v>
      </c>
      <c r="C92" t="s">
        <v>518</v>
      </c>
      <c r="D92">
        <v>26</v>
      </c>
      <c r="E92">
        <v>111</v>
      </c>
      <c r="F92">
        <v>71</v>
      </c>
      <c r="G92">
        <v>6548</v>
      </c>
      <c r="H92">
        <v>12</v>
      </c>
      <c r="I92" s="1">
        <v>45017</v>
      </c>
      <c r="J92" s="7">
        <f>Table1[[#This Row],[Required_Qty]]-Table1[[#This Row],[Available_Qty]]</f>
        <v>-85</v>
      </c>
      <c r="K92" s="7">
        <v>85</v>
      </c>
      <c r="L92" s="7">
        <f>IF(Table1[[#This Row],[Required_Qty]]&gt;Table1[[#This Row],[Available_Qty]],Table1[[#This Row],[Required_Qty]]-Table1[[#This Row],[Available_Qty]],0)</f>
        <v>0</v>
      </c>
      <c r="M92" s="7">
        <f>IF(Table1[[#This Row],[Required_Qty]]&lt;Table1[[#This Row],[Available_Qty]],Table1[[#This Row],[Available_Qty]]-Table1[[#This Row],[Required_Qty]],0)</f>
        <v>85</v>
      </c>
      <c r="N92">
        <v>464908</v>
      </c>
      <c r="O92" s="7">
        <f>IF(AND(Table1[[#This Row],[Clean_Shortage]]&gt;0,Table1[[#This Row],[Lead_Time_Days]]&gt;10),1,0)</f>
        <v>0</v>
      </c>
    </row>
    <row r="93" spans="1:15" hidden="1" x14ac:dyDescent="0.3">
      <c r="A93" t="s">
        <v>103</v>
      </c>
      <c r="B93" t="s">
        <v>513</v>
      </c>
      <c r="C93" t="s">
        <v>517</v>
      </c>
      <c r="D93">
        <v>95</v>
      </c>
      <c r="E93">
        <v>85</v>
      </c>
      <c r="F93">
        <v>20</v>
      </c>
      <c r="G93">
        <v>2826</v>
      </c>
      <c r="H93">
        <v>2</v>
      </c>
      <c r="I93" s="1">
        <v>45018</v>
      </c>
      <c r="J93" s="7">
        <f>Table1[[#This Row],[Required_Qty]]-Table1[[#This Row],[Available_Qty]]</f>
        <v>10</v>
      </c>
      <c r="K93" s="7">
        <v>-10</v>
      </c>
      <c r="L93" s="7">
        <f>IF(Table1[[#This Row],[Required_Qty]]&gt;Table1[[#This Row],[Available_Qty]],Table1[[#This Row],[Required_Qty]]-Table1[[#This Row],[Available_Qty]],0)</f>
        <v>10</v>
      </c>
      <c r="M93" s="7">
        <f>IF(Table1[[#This Row],[Required_Qty]]&lt;Table1[[#This Row],[Available_Qty]],Table1[[#This Row],[Available_Qty]]-Table1[[#This Row],[Required_Qty]],0)</f>
        <v>0</v>
      </c>
      <c r="N93">
        <v>56520</v>
      </c>
      <c r="O93" s="7">
        <f>IF(AND(Table1[[#This Row],[Clean_Shortage]]&gt;0,Table1[[#This Row],[Lead_Time_Days]]&gt;10),1,0)</f>
        <v>0</v>
      </c>
    </row>
    <row r="94" spans="1:15" hidden="1" x14ac:dyDescent="0.3">
      <c r="A94" t="s">
        <v>104</v>
      </c>
      <c r="B94" t="s">
        <v>515</v>
      </c>
      <c r="C94" t="s">
        <v>518</v>
      </c>
      <c r="D94">
        <v>99</v>
      </c>
      <c r="E94">
        <v>66</v>
      </c>
      <c r="F94">
        <v>17</v>
      </c>
      <c r="G94">
        <v>8629</v>
      </c>
      <c r="H94">
        <v>7</v>
      </c>
      <c r="I94" s="1">
        <v>45019</v>
      </c>
      <c r="J94" s="7">
        <f>Table1[[#This Row],[Required_Qty]]-Table1[[#This Row],[Available_Qty]]</f>
        <v>33</v>
      </c>
      <c r="K94" s="7">
        <v>-33</v>
      </c>
      <c r="L94" s="7">
        <f>IF(Table1[[#This Row],[Required_Qty]]&gt;Table1[[#This Row],[Available_Qty]],Table1[[#This Row],[Required_Qty]]-Table1[[#This Row],[Available_Qty]],0)</f>
        <v>33</v>
      </c>
      <c r="M94" s="7">
        <f>IF(Table1[[#This Row],[Required_Qty]]&lt;Table1[[#This Row],[Available_Qty]],Table1[[#This Row],[Available_Qty]]-Table1[[#This Row],[Required_Qty]],0)</f>
        <v>0</v>
      </c>
      <c r="N94">
        <v>146693</v>
      </c>
      <c r="O94" s="7">
        <f>IF(AND(Table1[[#This Row],[Clean_Shortage]]&gt;0,Table1[[#This Row],[Lead_Time_Days]]&gt;10),1,0)</f>
        <v>0</v>
      </c>
    </row>
    <row r="95" spans="1:15" hidden="1" x14ac:dyDescent="0.3">
      <c r="A95" t="s">
        <v>105</v>
      </c>
      <c r="B95" t="s">
        <v>515</v>
      </c>
      <c r="C95" t="s">
        <v>517</v>
      </c>
      <c r="D95">
        <v>53</v>
      </c>
      <c r="E95">
        <v>113</v>
      </c>
      <c r="F95">
        <v>63</v>
      </c>
      <c r="G95">
        <v>9325</v>
      </c>
      <c r="H95">
        <v>3</v>
      </c>
      <c r="I95" s="1">
        <v>45020</v>
      </c>
      <c r="J95" s="7">
        <f>Table1[[#This Row],[Required_Qty]]-Table1[[#This Row],[Available_Qty]]</f>
        <v>-60</v>
      </c>
      <c r="K95" s="7">
        <v>60</v>
      </c>
      <c r="L95" s="7">
        <f>IF(Table1[[#This Row],[Required_Qty]]&gt;Table1[[#This Row],[Available_Qty]],Table1[[#This Row],[Required_Qty]]-Table1[[#This Row],[Available_Qty]],0)</f>
        <v>0</v>
      </c>
      <c r="M95" s="7">
        <f>IF(Table1[[#This Row],[Required_Qty]]&lt;Table1[[#This Row],[Available_Qty]],Table1[[#This Row],[Available_Qty]]-Table1[[#This Row],[Required_Qty]],0)</f>
        <v>60</v>
      </c>
      <c r="N95">
        <v>587475</v>
      </c>
      <c r="O95" s="7">
        <f>IF(AND(Table1[[#This Row],[Clean_Shortage]]&gt;0,Table1[[#This Row],[Lead_Time_Days]]&gt;10),1,0)</f>
        <v>0</v>
      </c>
    </row>
    <row r="96" spans="1:15" hidden="1" x14ac:dyDescent="0.3">
      <c r="A96" t="s">
        <v>106</v>
      </c>
      <c r="B96" t="s">
        <v>515</v>
      </c>
      <c r="C96" t="s">
        <v>518</v>
      </c>
      <c r="D96">
        <v>34</v>
      </c>
      <c r="E96">
        <v>111</v>
      </c>
      <c r="F96">
        <v>37</v>
      </c>
      <c r="G96">
        <v>4138</v>
      </c>
      <c r="H96">
        <v>13</v>
      </c>
      <c r="I96" s="1">
        <v>45021</v>
      </c>
      <c r="J96" s="7">
        <f>Table1[[#This Row],[Required_Qty]]-Table1[[#This Row],[Available_Qty]]</f>
        <v>-77</v>
      </c>
      <c r="K96" s="7">
        <v>77</v>
      </c>
      <c r="L96" s="7">
        <f>IF(Table1[[#This Row],[Required_Qty]]&gt;Table1[[#This Row],[Available_Qty]],Table1[[#This Row],[Required_Qty]]-Table1[[#This Row],[Available_Qty]],0)</f>
        <v>0</v>
      </c>
      <c r="M96" s="7">
        <f>IF(Table1[[#This Row],[Required_Qty]]&lt;Table1[[#This Row],[Available_Qty]],Table1[[#This Row],[Available_Qty]]-Table1[[#This Row],[Required_Qty]],0)</f>
        <v>77</v>
      </c>
      <c r="N96">
        <v>153106</v>
      </c>
      <c r="O96" s="7">
        <f>IF(AND(Table1[[#This Row],[Clean_Shortage]]&gt;0,Table1[[#This Row],[Lead_Time_Days]]&gt;10),1,0)</f>
        <v>0</v>
      </c>
    </row>
    <row r="97" spans="1:15" hidden="1" x14ac:dyDescent="0.3">
      <c r="A97" t="s">
        <v>107</v>
      </c>
      <c r="B97" t="s">
        <v>515</v>
      </c>
      <c r="C97" t="s">
        <v>516</v>
      </c>
      <c r="D97">
        <v>26</v>
      </c>
      <c r="E97">
        <v>102</v>
      </c>
      <c r="F97">
        <v>31</v>
      </c>
      <c r="G97">
        <v>8693</v>
      </c>
      <c r="H97">
        <v>3</v>
      </c>
      <c r="I97" s="1">
        <v>45022</v>
      </c>
      <c r="J97" s="7">
        <f>Table1[[#This Row],[Required_Qty]]-Table1[[#This Row],[Available_Qty]]</f>
        <v>-76</v>
      </c>
      <c r="K97" s="7">
        <v>76</v>
      </c>
      <c r="L97" s="7">
        <f>IF(Table1[[#This Row],[Required_Qty]]&gt;Table1[[#This Row],[Available_Qty]],Table1[[#This Row],[Required_Qty]]-Table1[[#This Row],[Available_Qty]],0)</f>
        <v>0</v>
      </c>
      <c r="M97" s="7">
        <f>IF(Table1[[#This Row],[Required_Qty]]&lt;Table1[[#This Row],[Available_Qty]],Table1[[#This Row],[Available_Qty]]-Table1[[#This Row],[Required_Qty]],0)</f>
        <v>76</v>
      </c>
      <c r="N97">
        <v>269483</v>
      </c>
      <c r="O97" s="7">
        <f>IF(AND(Table1[[#This Row],[Clean_Shortage]]&gt;0,Table1[[#This Row],[Lead_Time_Days]]&gt;10),1,0)</f>
        <v>0</v>
      </c>
    </row>
    <row r="98" spans="1:15" hidden="1" x14ac:dyDescent="0.3">
      <c r="A98" t="s">
        <v>108</v>
      </c>
      <c r="B98" t="s">
        <v>515</v>
      </c>
      <c r="C98" t="s">
        <v>516</v>
      </c>
      <c r="D98">
        <v>22</v>
      </c>
      <c r="E98">
        <v>77</v>
      </c>
      <c r="F98">
        <v>10</v>
      </c>
      <c r="G98">
        <v>9264</v>
      </c>
      <c r="H98">
        <v>11</v>
      </c>
      <c r="I98" s="1">
        <v>45023</v>
      </c>
      <c r="J98" s="7">
        <f>Table1[[#This Row],[Required_Qty]]-Table1[[#This Row],[Available_Qty]]</f>
        <v>-55</v>
      </c>
      <c r="K98" s="7">
        <v>55</v>
      </c>
      <c r="L98" s="7">
        <f>IF(Table1[[#This Row],[Required_Qty]]&gt;Table1[[#This Row],[Available_Qty]],Table1[[#This Row],[Required_Qty]]-Table1[[#This Row],[Available_Qty]],0)</f>
        <v>0</v>
      </c>
      <c r="M98" s="7">
        <f>IF(Table1[[#This Row],[Required_Qty]]&lt;Table1[[#This Row],[Available_Qty]],Table1[[#This Row],[Available_Qty]]-Table1[[#This Row],[Required_Qty]],0)</f>
        <v>55</v>
      </c>
      <c r="N98">
        <v>92640</v>
      </c>
      <c r="O98" s="7">
        <f>IF(AND(Table1[[#This Row],[Clean_Shortage]]&gt;0,Table1[[#This Row],[Lead_Time_Days]]&gt;10),1,0)</f>
        <v>0</v>
      </c>
    </row>
    <row r="99" spans="1:15" hidden="1" x14ac:dyDescent="0.3">
      <c r="A99" t="s">
        <v>109</v>
      </c>
      <c r="B99" t="s">
        <v>513</v>
      </c>
      <c r="C99" t="s">
        <v>517</v>
      </c>
      <c r="D99">
        <v>93</v>
      </c>
      <c r="E99">
        <v>30</v>
      </c>
      <c r="F99">
        <v>44</v>
      </c>
      <c r="G99">
        <v>8842</v>
      </c>
      <c r="H99">
        <v>2</v>
      </c>
      <c r="I99" s="1">
        <v>45024</v>
      </c>
      <c r="J99" s="7">
        <f>Table1[[#This Row],[Required_Qty]]-Table1[[#This Row],[Available_Qty]]</f>
        <v>63</v>
      </c>
      <c r="K99" s="7">
        <v>-63</v>
      </c>
      <c r="L99" s="7">
        <f>IF(Table1[[#This Row],[Required_Qty]]&gt;Table1[[#This Row],[Available_Qty]],Table1[[#This Row],[Required_Qty]]-Table1[[#This Row],[Available_Qty]],0)</f>
        <v>63</v>
      </c>
      <c r="M99" s="7">
        <f>IF(Table1[[#This Row],[Required_Qty]]&lt;Table1[[#This Row],[Available_Qty]],Table1[[#This Row],[Available_Qty]]-Table1[[#This Row],[Required_Qty]],0)</f>
        <v>0</v>
      </c>
      <c r="N99">
        <v>389048</v>
      </c>
      <c r="O99" s="7">
        <f>IF(AND(Table1[[#This Row],[Clean_Shortage]]&gt;0,Table1[[#This Row],[Lead_Time_Days]]&gt;10),1,0)</f>
        <v>0</v>
      </c>
    </row>
    <row r="100" spans="1:15" hidden="1" x14ac:dyDescent="0.3">
      <c r="A100" t="s">
        <v>110</v>
      </c>
      <c r="B100" t="s">
        <v>515</v>
      </c>
      <c r="C100" t="s">
        <v>517</v>
      </c>
      <c r="D100">
        <v>34</v>
      </c>
      <c r="E100">
        <v>70</v>
      </c>
      <c r="F100">
        <v>32</v>
      </c>
      <c r="G100">
        <v>7721</v>
      </c>
      <c r="H100">
        <v>11</v>
      </c>
      <c r="I100" s="1">
        <v>45025</v>
      </c>
      <c r="J100" s="7">
        <f>Table1[[#This Row],[Required_Qty]]-Table1[[#This Row],[Available_Qty]]</f>
        <v>-36</v>
      </c>
      <c r="K100" s="7">
        <v>36</v>
      </c>
      <c r="L100" s="7">
        <f>IF(Table1[[#This Row],[Required_Qty]]&gt;Table1[[#This Row],[Available_Qty]],Table1[[#This Row],[Required_Qty]]-Table1[[#This Row],[Available_Qty]],0)</f>
        <v>0</v>
      </c>
      <c r="M100" s="7">
        <f>IF(Table1[[#This Row],[Required_Qty]]&lt;Table1[[#This Row],[Available_Qty]],Table1[[#This Row],[Available_Qty]]-Table1[[#This Row],[Required_Qty]],0)</f>
        <v>36</v>
      </c>
      <c r="N100">
        <v>247072</v>
      </c>
      <c r="O100" s="7">
        <f>IF(AND(Table1[[#This Row],[Clean_Shortage]]&gt;0,Table1[[#This Row],[Lead_Time_Days]]&gt;10),1,0)</f>
        <v>0</v>
      </c>
    </row>
    <row r="101" spans="1:15" hidden="1" x14ac:dyDescent="0.3">
      <c r="A101" t="s">
        <v>111</v>
      </c>
      <c r="B101" t="s">
        <v>514</v>
      </c>
      <c r="C101" t="s">
        <v>517</v>
      </c>
      <c r="D101">
        <v>77</v>
      </c>
      <c r="E101">
        <v>77</v>
      </c>
      <c r="F101">
        <v>40</v>
      </c>
      <c r="G101">
        <v>8002</v>
      </c>
      <c r="H101">
        <v>8</v>
      </c>
      <c r="I101" s="1">
        <v>45026</v>
      </c>
      <c r="J101" s="7">
        <f>Table1[[#This Row],[Required_Qty]]-Table1[[#This Row],[Available_Qty]]</f>
        <v>0</v>
      </c>
      <c r="K101" s="7">
        <v>0</v>
      </c>
      <c r="L101" s="7">
        <f>IF(Table1[[#This Row],[Required_Qty]]&gt;Table1[[#This Row],[Available_Qty]],Table1[[#This Row],[Required_Qty]]-Table1[[#This Row],[Available_Qty]],0)</f>
        <v>0</v>
      </c>
      <c r="M101" s="7">
        <f>IF(Table1[[#This Row],[Required_Qty]]&lt;Table1[[#This Row],[Available_Qty]],Table1[[#This Row],[Available_Qty]]-Table1[[#This Row],[Required_Qty]],0)</f>
        <v>0</v>
      </c>
      <c r="N101">
        <v>320080</v>
      </c>
      <c r="O101" s="7">
        <f>IF(AND(Table1[[#This Row],[Clean_Shortage]]&gt;0,Table1[[#This Row],[Lead_Time_Days]]&gt;10),1,0)</f>
        <v>0</v>
      </c>
    </row>
    <row r="102" spans="1:15" hidden="1" x14ac:dyDescent="0.3">
      <c r="A102" t="s">
        <v>112</v>
      </c>
      <c r="B102" t="s">
        <v>512</v>
      </c>
      <c r="C102" t="s">
        <v>518</v>
      </c>
      <c r="D102">
        <v>19</v>
      </c>
      <c r="E102">
        <v>77</v>
      </c>
      <c r="F102">
        <v>7</v>
      </c>
      <c r="G102">
        <v>5225</v>
      </c>
      <c r="H102">
        <v>6</v>
      </c>
      <c r="I102" s="1">
        <v>45027</v>
      </c>
      <c r="J102" s="7">
        <f>Table1[[#This Row],[Required_Qty]]-Table1[[#This Row],[Available_Qty]]</f>
        <v>-58</v>
      </c>
      <c r="K102" s="7">
        <v>58</v>
      </c>
      <c r="L102" s="7">
        <f>IF(Table1[[#This Row],[Required_Qty]]&gt;Table1[[#This Row],[Available_Qty]],Table1[[#This Row],[Required_Qty]]-Table1[[#This Row],[Available_Qty]],0)</f>
        <v>0</v>
      </c>
      <c r="M102" s="7">
        <f>IF(Table1[[#This Row],[Required_Qty]]&lt;Table1[[#This Row],[Available_Qty]],Table1[[#This Row],[Available_Qty]]-Table1[[#This Row],[Required_Qty]],0)</f>
        <v>58</v>
      </c>
      <c r="N102">
        <v>36575</v>
      </c>
      <c r="O102" s="7">
        <f>IF(AND(Table1[[#This Row],[Clean_Shortage]]&gt;0,Table1[[#This Row],[Lead_Time_Days]]&gt;10),1,0)</f>
        <v>0</v>
      </c>
    </row>
    <row r="103" spans="1:15" hidden="1" x14ac:dyDescent="0.3">
      <c r="A103" t="s">
        <v>113</v>
      </c>
      <c r="B103" t="s">
        <v>515</v>
      </c>
      <c r="C103" t="s">
        <v>518</v>
      </c>
      <c r="D103">
        <v>76</v>
      </c>
      <c r="E103">
        <v>44</v>
      </c>
      <c r="F103">
        <v>10</v>
      </c>
      <c r="G103">
        <v>3978</v>
      </c>
      <c r="H103">
        <v>1</v>
      </c>
      <c r="I103" s="1">
        <v>45028</v>
      </c>
      <c r="J103" s="7">
        <f>Table1[[#This Row],[Required_Qty]]-Table1[[#This Row],[Available_Qty]]</f>
        <v>32</v>
      </c>
      <c r="K103" s="7">
        <v>-32</v>
      </c>
      <c r="L103" s="7">
        <f>IF(Table1[[#This Row],[Required_Qty]]&gt;Table1[[#This Row],[Available_Qty]],Table1[[#This Row],[Required_Qty]]-Table1[[#This Row],[Available_Qty]],0)</f>
        <v>32</v>
      </c>
      <c r="M103" s="7">
        <f>IF(Table1[[#This Row],[Required_Qty]]&lt;Table1[[#This Row],[Available_Qty]],Table1[[#This Row],[Available_Qty]]-Table1[[#This Row],[Required_Qty]],0)</f>
        <v>0</v>
      </c>
      <c r="N103">
        <v>39780</v>
      </c>
      <c r="O103" s="7">
        <f>IF(AND(Table1[[#This Row],[Clean_Shortage]]&gt;0,Table1[[#This Row],[Lead_Time_Days]]&gt;10),1,0)</f>
        <v>0</v>
      </c>
    </row>
    <row r="104" spans="1:15" x14ac:dyDescent="0.3">
      <c r="A104" t="s">
        <v>114</v>
      </c>
      <c r="B104" t="s">
        <v>515</v>
      </c>
      <c r="C104" t="s">
        <v>517</v>
      </c>
      <c r="D104">
        <v>27</v>
      </c>
      <c r="E104">
        <v>21</v>
      </c>
      <c r="F104">
        <v>50</v>
      </c>
      <c r="G104">
        <v>8373</v>
      </c>
      <c r="H104">
        <v>12</v>
      </c>
      <c r="I104" s="1">
        <v>45029</v>
      </c>
      <c r="J104" s="7">
        <f>Table1[[#This Row],[Required_Qty]]-Table1[[#This Row],[Available_Qty]]</f>
        <v>6</v>
      </c>
      <c r="K104" s="7">
        <v>-6</v>
      </c>
      <c r="L104" s="7">
        <f>IF(Table1[[#This Row],[Required_Qty]]&gt;Table1[[#This Row],[Available_Qty]],Table1[[#This Row],[Required_Qty]]-Table1[[#This Row],[Available_Qty]],0)</f>
        <v>6</v>
      </c>
      <c r="M104" s="7">
        <f>IF(Table1[[#This Row],[Required_Qty]]&lt;Table1[[#This Row],[Available_Qty]],Table1[[#This Row],[Available_Qty]]-Table1[[#This Row],[Required_Qty]],0)</f>
        <v>0</v>
      </c>
      <c r="N104">
        <v>418650</v>
      </c>
      <c r="O104" s="7">
        <f>IF(AND(Table1[[#This Row],[Clean_Shortage]]&gt;0,Table1[[#This Row],[Lead_Time_Days]]&gt;10),1,0)</f>
        <v>1</v>
      </c>
    </row>
    <row r="105" spans="1:15" hidden="1" x14ac:dyDescent="0.3">
      <c r="A105" t="s">
        <v>115</v>
      </c>
      <c r="B105" t="s">
        <v>513</v>
      </c>
      <c r="C105" t="s">
        <v>516</v>
      </c>
      <c r="D105">
        <v>95</v>
      </c>
      <c r="E105">
        <v>5</v>
      </c>
      <c r="F105">
        <v>40</v>
      </c>
      <c r="G105">
        <v>6907</v>
      </c>
      <c r="H105">
        <v>1</v>
      </c>
      <c r="I105" s="1">
        <v>45030</v>
      </c>
      <c r="J105" s="7">
        <f>Table1[[#This Row],[Required_Qty]]-Table1[[#This Row],[Available_Qty]]</f>
        <v>90</v>
      </c>
      <c r="K105" s="7">
        <v>-90</v>
      </c>
      <c r="L105" s="7">
        <f>IF(Table1[[#This Row],[Required_Qty]]&gt;Table1[[#This Row],[Available_Qty]],Table1[[#This Row],[Required_Qty]]-Table1[[#This Row],[Available_Qty]],0)</f>
        <v>90</v>
      </c>
      <c r="M105" s="7">
        <f>IF(Table1[[#This Row],[Required_Qty]]&lt;Table1[[#This Row],[Available_Qty]],Table1[[#This Row],[Available_Qty]]-Table1[[#This Row],[Required_Qty]],0)</f>
        <v>0</v>
      </c>
      <c r="N105">
        <v>276280</v>
      </c>
      <c r="O105" s="7">
        <f>IF(AND(Table1[[#This Row],[Clean_Shortage]]&gt;0,Table1[[#This Row],[Lead_Time_Days]]&gt;10),1,0)</f>
        <v>0</v>
      </c>
    </row>
    <row r="106" spans="1:15" hidden="1" x14ac:dyDescent="0.3">
      <c r="A106" t="s">
        <v>116</v>
      </c>
      <c r="B106" t="s">
        <v>515</v>
      </c>
      <c r="C106" t="s">
        <v>518</v>
      </c>
      <c r="D106">
        <v>43</v>
      </c>
      <c r="E106">
        <v>93</v>
      </c>
      <c r="F106">
        <v>16</v>
      </c>
      <c r="G106">
        <v>7097</v>
      </c>
      <c r="H106">
        <v>7</v>
      </c>
      <c r="I106" s="1">
        <v>45031</v>
      </c>
      <c r="J106" s="7">
        <f>Table1[[#This Row],[Required_Qty]]-Table1[[#This Row],[Available_Qty]]</f>
        <v>-50</v>
      </c>
      <c r="K106" s="7">
        <v>50</v>
      </c>
      <c r="L106" s="7">
        <f>IF(Table1[[#This Row],[Required_Qty]]&gt;Table1[[#This Row],[Available_Qty]],Table1[[#This Row],[Required_Qty]]-Table1[[#This Row],[Available_Qty]],0)</f>
        <v>0</v>
      </c>
      <c r="M106" s="7">
        <f>IF(Table1[[#This Row],[Required_Qty]]&lt;Table1[[#This Row],[Available_Qty]],Table1[[#This Row],[Available_Qty]]-Table1[[#This Row],[Required_Qty]],0)</f>
        <v>50</v>
      </c>
      <c r="N106">
        <v>113552</v>
      </c>
      <c r="O106" s="7">
        <f>IF(AND(Table1[[#This Row],[Clean_Shortage]]&gt;0,Table1[[#This Row],[Lead_Time_Days]]&gt;10),1,0)</f>
        <v>0</v>
      </c>
    </row>
    <row r="107" spans="1:15" hidden="1" x14ac:dyDescent="0.3">
      <c r="A107" t="s">
        <v>117</v>
      </c>
      <c r="B107" t="s">
        <v>515</v>
      </c>
      <c r="C107" t="s">
        <v>518</v>
      </c>
      <c r="D107">
        <v>17</v>
      </c>
      <c r="E107">
        <v>65</v>
      </c>
      <c r="F107">
        <v>75</v>
      </c>
      <c r="G107">
        <v>6656</v>
      </c>
      <c r="H107">
        <v>8</v>
      </c>
      <c r="I107" s="1">
        <v>45032</v>
      </c>
      <c r="J107" s="7">
        <f>Table1[[#This Row],[Required_Qty]]-Table1[[#This Row],[Available_Qty]]</f>
        <v>-48</v>
      </c>
      <c r="K107" s="7">
        <v>48</v>
      </c>
      <c r="L107" s="7">
        <f>IF(Table1[[#This Row],[Required_Qty]]&gt;Table1[[#This Row],[Available_Qty]],Table1[[#This Row],[Required_Qty]]-Table1[[#This Row],[Available_Qty]],0)</f>
        <v>0</v>
      </c>
      <c r="M107" s="7">
        <f>IF(Table1[[#This Row],[Required_Qty]]&lt;Table1[[#This Row],[Available_Qty]],Table1[[#This Row],[Available_Qty]]-Table1[[#This Row],[Required_Qty]],0)</f>
        <v>48</v>
      </c>
      <c r="N107">
        <v>499200</v>
      </c>
      <c r="O107" s="7">
        <f>IF(AND(Table1[[#This Row],[Clean_Shortage]]&gt;0,Table1[[#This Row],[Lead_Time_Days]]&gt;10),1,0)</f>
        <v>0</v>
      </c>
    </row>
    <row r="108" spans="1:15" hidden="1" x14ac:dyDescent="0.3">
      <c r="A108" t="s">
        <v>118</v>
      </c>
      <c r="B108" t="s">
        <v>515</v>
      </c>
      <c r="C108" t="s">
        <v>518</v>
      </c>
      <c r="D108">
        <v>49</v>
      </c>
      <c r="E108">
        <v>47</v>
      </c>
      <c r="F108">
        <v>45</v>
      </c>
      <c r="G108">
        <v>9984</v>
      </c>
      <c r="H108">
        <v>5</v>
      </c>
      <c r="I108" s="1">
        <v>45033</v>
      </c>
      <c r="J108" s="7">
        <f>Table1[[#This Row],[Required_Qty]]-Table1[[#This Row],[Available_Qty]]</f>
        <v>2</v>
      </c>
      <c r="K108" s="7">
        <v>-2</v>
      </c>
      <c r="L108" s="7">
        <f>IF(Table1[[#This Row],[Required_Qty]]&gt;Table1[[#This Row],[Available_Qty]],Table1[[#This Row],[Required_Qty]]-Table1[[#This Row],[Available_Qty]],0)</f>
        <v>2</v>
      </c>
      <c r="M108" s="7">
        <f>IF(Table1[[#This Row],[Required_Qty]]&lt;Table1[[#This Row],[Available_Qty]],Table1[[#This Row],[Available_Qty]]-Table1[[#This Row],[Required_Qty]],0)</f>
        <v>0</v>
      </c>
      <c r="N108">
        <v>449280</v>
      </c>
      <c r="O108" s="7">
        <f>IF(AND(Table1[[#This Row],[Clean_Shortage]]&gt;0,Table1[[#This Row],[Lead_Time_Days]]&gt;10),1,0)</f>
        <v>0</v>
      </c>
    </row>
    <row r="109" spans="1:15" hidden="1" x14ac:dyDescent="0.3">
      <c r="A109" t="s">
        <v>119</v>
      </c>
      <c r="B109" t="s">
        <v>513</v>
      </c>
      <c r="C109" t="s">
        <v>517</v>
      </c>
      <c r="D109">
        <v>92</v>
      </c>
      <c r="E109">
        <v>108</v>
      </c>
      <c r="F109">
        <v>31</v>
      </c>
      <c r="G109">
        <v>5259</v>
      </c>
      <c r="H109">
        <v>12</v>
      </c>
      <c r="I109" s="1">
        <v>45034</v>
      </c>
      <c r="J109" s="7">
        <f>Table1[[#This Row],[Required_Qty]]-Table1[[#This Row],[Available_Qty]]</f>
        <v>-16</v>
      </c>
      <c r="K109" s="7">
        <v>16</v>
      </c>
      <c r="L109" s="7">
        <f>IF(Table1[[#This Row],[Required_Qty]]&gt;Table1[[#This Row],[Available_Qty]],Table1[[#This Row],[Required_Qty]]-Table1[[#This Row],[Available_Qty]],0)</f>
        <v>0</v>
      </c>
      <c r="M109" s="7">
        <f>IF(Table1[[#This Row],[Required_Qty]]&lt;Table1[[#This Row],[Available_Qty]],Table1[[#This Row],[Available_Qty]]-Table1[[#This Row],[Required_Qty]],0)</f>
        <v>16</v>
      </c>
      <c r="N109">
        <v>163029</v>
      </c>
      <c r="O109" s="7">
        <f>IF(AND(Table1[[#This Row],[Clean_Shortage]]&gt;0,Table1[[#This Row],[Lead_Time_Days]]&gt;10),1,0)</f>
        <v>0</v>
      </c>
    </row>
    <row r="110" spans="1:15" x14ac:dyDescent="0.3">
      <c r="A110" t="s">
        <v>120</v>
      </c>
      <c r="B110" t="s">
        <v>515</v>
      </c>
      <c r="C110" t="s">
        <v>517</v>
      </c>
      <c r="D110">
        <v>51</v>
      </c>
      <c r="E110">
        <v>46</v>
      </c>
      <c r="F110">
        <v>78</v>
      </c>
      <c r="G110">
        <v>9286</v>
      </c>
      <c r="H110">
        <v>11</v>
      </c>
      <c r="I110" s="1">
        <v>45035</v>
      </c>
      <c r="J110" s="7">
        <f>Table1[[#This Row],[Required_Qty]]-Table1[[#This Row],[Available_Qty]]</f>
        <v>5</v>
      </c>
      <c r="K110" s="7">
        <v>-5</v>
      </c>
      <c r="L110" s="7">
        <f>IF(Table1[[#This Row],[Required_Qty]]&gt;Table1[[#This Row],[Available_Qty]],Table1[[#This Row],[Required_Qty]]-Table1[[#This Row],[Available_Qty]],0)</f>
        <v>5</v>
      </c>
      <c r="M110" s="7">
        <f>IF(Table1[[#This Row],[Required_Qty]]&lt;Table1[[#This Row],[Available_Qty]],Table1[[#This Row],[Available_Qty]]-Table1[[#This Row],[Required_Qty]],0)</f>
        <v>0</v>
      </c>
      <c r="N110">
        <v>724308</v>
      </c>
      <c r="O110" s="7">
        <f>IF(AND(Table1[[#This Row],[Clean_Shortage]]&gt;0,Table1[[#This Row],[Lead_Time_Days]]&gt;10),1,0)</f>
        <v>1</v>
      </c>
    </row>
    <row r="111" spans="1:15" hidden="1" x14ac:dyDescent="0.3">
      <c r="A111" t="s">
        <v>121</v>
      </c>
      <c r="B111" t="s">
        <v>512</v>
      </c>
      <c r="C111" t="s">
        <v>517</v>
      </c>
      <c r="D111">
        <v>50</v>
      </c>
      <c r="E111">
        <v>29</v>
      </c>
      <c r="F111">
        <v>79</v>
      </c>
      <c r="G111">
        <v>6901</v>
      </c>
      <c r="H111">
        <v>5</v>
      </c>
      <c r="I111" s="1">
        <v>45036</v>
      </c>
      <c r="J111" s="7">
        <f>Table1[[#This Row],[Required_Qty]]-Table1[[#This Row],[Available_Qty]]</f>
        <v>21</v>
      </c>
      <c r="K111" s="7">
        <v>-21</v>
      </c>
      <c r="L111" s="7">
        <f>IF(Table1[[#This Row],[Required_Qty]]&gt;Table1[[#This Row],[Available_Qty]],Table1[[#This Row],[Required_Qty]]-Table1[[#This Row],[Available_Qty]],0)</f>
        <v>21</v>
      </c>
      <c r="M111" s="7">
        <f>IF(Table1[[#This Row],[Required_Qty]]&lt;Table1[[#This Row],[Available_Qty]],Table1[[#This Row],[Available_Qty]]-Table1[[#This Row],[Required_Qty]],0)</f>
        <v>0</v>
      </c>
      <c r="N111">
        <v>545179</v>
      </c>
      <c r="O111" s="7">
        <f>IF(AND(Table1[[#This Row],[Clean_Shortage]]&gt;0,Table1[[#This Row],[Lead_Time_Days]]&gt;10),1,0)</f>
        <v>0</v>
      </c>
    </row>
    <row r="112" spans="1:15" hidden="1" x14ac:dyDescent="0.3">
      <c r="A112" t="s">
        <v>122</v>
      </c>
      <c r="B112" t="s">
        <v>513</v>
      </c>
      <c r="C112" t="s">
        <v>517</v>
      </c>
      <c r="D112">
        <v>15</v>
      </c>
      <c r="E112">
        <v>43</v>
      </c>
      <c r="F112">
        <v>53</v>
      </c>
      <c r="G112">
        <v>5917</v>
      </c>
      <c r="H112">
        <v>4</v>
      </c>
      <c r="I112" s="1">
        <v>45037</v>
      </c>
      <c r="J112" s="7">
        <f>Table1[[#This Row],[Required_Qty]]-Table1[[#This Row],[Available_Qty]]</f>
        <v>-28</v>
      </c>
      <c r="K112" s="7">
        <v>28</v>
      </c>
      <c r="L112" s="7">
        <f>IF(Table1[[#This Row],[Required_Qty]]&gt;Table1[[#This Row],[Available_Qty]],Table1[[#This Row],[Required_Qty]]-Table1[[#This Row],[Available_Qty]],0)</f>
        <v>0</v>
      </c>
      <c r="M112" s="7">
        <f>IF(Table1[[#This Row],[Required_Qty]]&lt;Table1[[#This Row],[Available_Qty]],Table1[[#This Row],[Available_Qty]]-Table1[[#This Row],[Required_Qty]],0)</f>
        <v>28</v>
      </c>
      <c r="N112">
        <v>313601</v>
      </c>
      <c r="O112" s="7">
        <f>IF(AND(Table1[[#This Row],[Clean_Shortage]]&gt;0,Table1[[#This Row],[Lead_Time_Days]]&gt;10),1,0)</f>
        <v>0</v>
      </c>
    </row>
    <row r="113" spans="1:15" x14ac:dyDescent="0.3">
      <c r="A113" t="s">
        <v>123</v>
      </c>
      <c r="B113" t="s">
        <v>512</v>
      </c>
      <c r="C113" t="s">
        <v>517</v>
      </c>
      <c r="D113">
        <v>61</v>
      </c>
      <c r="E113">
        <v>39</v>
      </c>
      <c r="F113">
        <v>19</v>
      </c>
      <c r="G113">
        <v>9429</v>
      </c>
      <c r="H113">
        <v>14</v>
      </c>
      <c r="I113" s="1">
        <v>45038</v>
      </c>
      <c r="J113" s="7">
        <f>Table1[[#This Row],[Required_Qty]]-Table1[[#This Row],[Available_Qty]]</f>
        <v>22</v>
      </c>
      <c r="K113" s="7">
        <v>-22</v>
      </c>
      <c r="L113" s="7">
        <f>IF(Table1[[#This Row],[Required_Qty]]&gt;Table1[[#This Row],[Available_Qty]],Table1[[#This Row],[Required_Qty]]-Table1[[#This Row],[Available_Qty]],0)</f>
        <v>22</v>
      </c>
      <c r="M113" s="7">
        <f>IF(Table1[[#This Row],[Required_Qty]]&lt;Table1[[#This Row],[Available_Qty]],Table1[[#This Row],[Available_Qty]]-Table1[[#This Row],[Required_Qty]],0)</f>
        <v>0</v>
      </c>
      <c r="N113">
        <v>179151</v>
      </c>
      <c r="O113" s="7">
        <f>IF(AND(Table1[[#This Row],[Clean_Shortage]]&gt;0,Table1[[#This Row],[Lead_Time_Days]]&gt;10),1,0)</f>
        <v>1</v>
      </c>
    </row>
    <row r="114" spans="1:15" hidden="1" x14ac:dyDescent="0.3">
      <c r="A114" t="s">
        <v>124</v>
      </c>
      <c r="B114" t="s">
        <v>513</v>
      </c>
      <c r="C114" t="s">
        <v>516</v>
      </c>
      <c r="D114">
        <v>35</v>
      </c>
      <c r="E114">
        <v>7</v>
      </c>
      <c r="F114">
        <v>32</v>
      </c>
      <c r="G114">
        <v>3530</v>
      </c>
      <c r="H114">
        <v>6</v>
      </c>
      <c r="I114" s="1">
        <v>45039</v>
      </c>
      <c r="J114" s="7">
        <f>Table1[[#This Row],[Required_Qty]]-Table1[[#This Row],[Available_Qty]]</f>
        <v>28</v>
      </c>
      <c r="K114" s="7">
        <v>-28</v>
      </c>
      <c r="L114" s="7">
        <f>IF(Table1[[#This Row],[Required_Qty]]&gt;Table1[[#This Row],[Available_Qty]],Table1[[#This Row],[Required_Qty]]-Table1[[#This Row],[Available_Qty]],0)</f>
        <v>28</v>
      </c>
      <c r="M114" s="7">
        <f>IF(Table1[[#This Row],[Required_Qty]]&lt;Table1[[#This Row],[Available_Qty]],Table1[[#This Row],[Available_Qty]]-Table1[[#This Row],[Required_Qty]],0)</f>
        <v>0</v>
      </c>
      <c r="N114">
        <v>112960</v>
      </c>
      <c r="O114" s="7">
        <f>IF(AND(Table1[[#This Row],[Clean_Shortage]]&gt;0,Table1[[#This Row],[Lead_Time_Days]]&gt;10),1,0)</f>
        <v>0</v>
      </c>
    </row>
    <row r="115" spans="1:15" hidden="1" x14ac:dyDescent="0.3">
      <c r="A115" t="s">
        <v>125</v>
      </c>
      <c r="B115" t="s">
        <v>515</v>
      </c>
      <c r="C115" t="s">
        <v>516</v>
      </c>
      <c r="D115">
        <v>73</v>
      </c>
      <c r="E115">
        <v>118</v>
      </c>
      <c r="F115">
        <v>73</v>
      </c>
      <c r="G115">
        <v>2960</v>
      </c>
      <c r="H115">
        <v>14</v>
      </c>
      <c r="I115" s="1">
        <v>45040</v>
      </c>
      <c r="J115" s="7">
        <f>Table1[[#This Row],[Required_Qty]]-Table1[[#This Row],[Available_Qty]]</f>
        <v>-45</v>
      </c>
      <c r="K115" s="7">
        <v>45</v>
      </c>
      <c r="L115" s="7">
        <f>IF(Table1[[#This Row],[Required_Qty]]&gt;Table1[[#This Row],[Available_Qty]],Table1[[#This Row],[Required_Qty]]-Table1[[#This Row],[Available_Qty]],0)</f>
        <v>0</v>
      </c>
      <c r="M115" s="7">
        <f>IF(Table1[[#This Row],[Required_Qty]]&lt;Table1[[#This Row],[Available_Qty]],Table1[[#This Row],[Available_Qty]]-Table1[[#This Row],[Required_Qty]],0)</f>
        <v>45</v>
      </c>
      <c r="N115">
        <v>216080</v>
      </c>
      <c r="O115" s="7">
        <f>IF(AND(Table1[[#This Row],[Clean_Shortage]]&gt;0,Table1[[#This Row],[Lead_Time_Days]]&gt;10),1,0)</f>
        <v>0</v>
      </c>
    </row>
    <row r="116" spans="1:15" hidden="1" x14ac:dyDescent="0.3">
      <c r="A116" t="s">
        <v>126</v>
      </c>
      <c r="B116" t="s">
        <v>512</v>
      </c>
      <c r="C116" t="s">
        <v>517</v>
      </c>
      <c r="D116">
        <v>68</v>
      </c>
      <c r="E116">
        <v>105</v>
      </c>
      <c r="F116">
        <v>39</v>
      </c>
      <c r="G116">
        <v>8045</v>
      </c>
      <c r="H116">
        <v>6</v>
      </c>
      <c r="I116" s="1">
        <v>45041</v>
      </c>
      <c r="J116" s="7">
        <f>Table1[[#This Row],[Required_Qty]]-Table1[[#This Row],[Available_Qty]]</f>
        <v>-37</v>
      </c>
      <c r="K116" s="7">
        <v>37</v>
      </c>
      <c r="L116" s="7">
        <f>IF(Table1[[#This Row],[Required_Qty]]&gt;Table1[[#This Row],[Available_Qty]],Table1[[#This Row],[Required_Qty]]-Table1[[#This Row],[Available_Qty]],0)</f>
        <v>0</v>
      </c>
      <c r="M116" s="7">
        <f>IF(Table1[[#This Row],[Required_Qty]]&lt;Table1[[#This Row],[Available_Qty]],Table1[[#This Row],[Available_Qty]]-Table1[[#This Row],[Required_Qty]],0)</f>
        <v>37</v>
      </c>
      <c r="N116">
        <v>313755</v>
      </c>
      <c r="O116" s="7">
        <f>IF(AND(Table1[[#This Row],[Clean_Shortage]]&gt;0,Table1[[#This Row],[Lead_Time_Days]]&gt;10),1,0)</f>
        <v>0</v>
      </c>
    </row>
    <row r="117" spans="1:15" hidden="1" x14ac:dyDescent="0.3">
      <c r="A117" t="s">
        <v>127</v>
      </c>
      <c r="B117" t="s">
        <v>513</v>
      </c>
      <c r="C117" t="s">
        <v>518</v>
      </c>
      <c r="D117">
        <v>65</v>
      </c>
      <c r="E117">
        <v>112</v>
      </c>
      <c r="F117">
        <v>31</v>
      </c>
      <c r="G117">
        <v>2048</v>
      </c>
      <c r="H117">
        <v>3</v>
      </c>
      <c r="I117" s="1">
        <v>45042</v>
      </c>
      <c r="J117" s="7">
        <f>Table1[[#This Row],[Required_Qty]]-Table1[[#This Row],[Available_Qty]]</f>
        <v>-47</v>
      </c>
      <c r="K117" s="7">
        <v>47</v>
      </c>
      <c r="L117" s="7">
        <f>IF(Table1[[#This Row],[Required_Qty]]&gt;Table1[[#This Row],[Available_Qty]],Table1[[#This Row],[Required_Qty]]-Table1[[#This Row],[Available_Qty]],0)</f>
        <v>0</v>
      </c>
      <c r="M117" s="7">
        <f>IF(Table1[[#This Row],[Required_Qty]]&lt;Table1[[#This Row],[Available_Qty]],Table1[[#This Row],[Available_Qty]]-Table1[[#This Row],[Required_Qty]],0)</f>
        <v>47</v>
      </c>
      <c r="N117">
        <v>63488</v>
      </c>
      <c r="O117" s="7">
        <f>IF(AND(Table1[[#This Row],[Clean_Shortage]]&gt;0,Table1[[#This Row],[Lead_Time_Days]]&gt;10),1,0)</f>
        <v>0</v>
      </c>
    </row>
    <row r="118" spans="1:15" hidden="1" x14ac:dyDescent="0.3">
      <c r="A118" t="s">
        <v>128</v>
      </c>
      <c r="B118" t="s">
        <v>514</v>
      </c>
      <c r="C118" t="s">
        <v>517</v>
      </c>
      <c r="D118">
        <v>68</v>
      </c>
      <c r="E118">
        <v>48</v>
      </c>
      <c r="F118">
        <v>1</v>
      </c>
      <c r="G118">
        <v>6772</v>
      </c>
      <c r="H118">
        <v>9</v>
      </c>
      <c r="I118" s="1">
        <v>45043</v>
      </c>
      <c r="J118" s="7">
        <f>Table1[[#This Row],[Required_Qty]]-Table1[[#This Row],[Available_Qty]]</f>
        <v>20</v>
      </c>
      <c r="K118" s="7">
        <v>-20</v>
      </c>
      <c r="L118" s="7">
        <f>IF(Table1[[#This Row],[Required_Qty]]&gt;Table1[[#This Row],[Available_Qty]],Table1[[#This Row],[Required_Qty]]-Table1[[#This Row],[Available_Qty]],0)</f>
        <v>20</v>
      </c>
      <c r="M118" s="7">
        <f>IF(Table1[[#This Row],[Required_Qty]]&lt;Table1[[#This Row],[Available_Qty]],Table1[[#This Row],[Available_Qty]]-Table1[[#This Row],[Required_Qty]],0)</f>
        <v>0</v>
      </c>
      <c r="N118">
        <v>6772</v>
      </c>
      <c r="O118" s="7">
        <f>IF(AND(Table1[[#This Row],[Clean_Shortage]]&gt;0,Table1[[#This Row],[Lead_Time_Days]]&gt;10),1,0)</f>
        <v>0</v>
      </c>
    </row>
    <row r="119" spans="1:15" x14ac:dyDescent="0.3">
      <c r="A119" t="s">
        <v>129</v>
      </c>
      <c r="B119" t="s">
        <v>515</v>
      </c>
      <c r="C119" t="s">
        <v>516</v>
      </c>
      <c r="D119">
        <v>79</v>
      </c>
      <c r="E119">
        <v>55</v>
      </c>
      <c r="F119">
        <v>32</v>
      </c>
      <c r="G119">
        <v>3529</v>
      </c>
      <c r="H119">
        <v>12</v>
      </c>
      <c r="I119" s="1">
        <v>45044</v>
      </c>
      <c r="J119" s="7">
        <f>Table1[[#This Row],[Required_Qty]]-Table1[[#This Row],[Available_Qty]]</f>
        <v>24</v>
      </c>
      <c r="K119" s="7">
        <v>-24</v>
      </c>
      <c r="L119" s="7">
        <f>IF(Table1[[#This Row],[Required_Qty]]&gt;Table1[[#This Row],[Available_Qty]],Table1[[#This Row],[Required_Qty]]-Table1[[#This Row],[Available_Qty]],0)</f>
        <v>24</v>
      </c>
      <c r="M119" s="7">
        <f>IF(Table1[[#This Row],[Required_Qty]]&lt;Table1[[#This Row],[Available_Qty]],Table1[[#This Row],[Available_Qty]]-Table1[[#This Row],[Required_Qty]],0)</f>
        <v>0</v>
      </c>
      <c r="N119">
        <v>112928</v>
      </c>
      <c r="O119" s="7">
        <f>IF(AND(Table1[[#This Row],[Clean_Shortage]]&gt;0,Table1[[#This Row],[Lead_Time_Days]]&gt;10),1,0)</f>
        <v>1</v>
      </c>
    </row>
    <row r="120" spans="1:15" hidden="1" x14ac:dyDescent="0.3">
      <c r="A120" t="s">
        <v>130</v>
      </c>
      <c r="B120" t="s">
        <v>513</v>
      </c>
      <c r="C120" t="s">
        <v>516</v>
      </c>
      <c r="D120">
        <v>42</v>
      </c>
      <c r="E120">
        <v>98</v>
      </c>
      <c r="F120">
        <v>76</v>
      </c>
      <c r="G120">
        <v>3964</v>
      </c>
      <c r="H120">
        <v>11</v>
      </c>
      <c r="I120" s="1">
        <v>45045</v>
      </c>
      <c r="J120" s="7">
        <f>Table1[[#This Row],[Required_Qty]]-Table1[[#This Row],[Available_Qty]]</f>
        <v>-56</v>
      </c>
      <c r="K120" s="7">
        <v>56</v>
      </c>
      <c r="L120" s="7">
        <f>IF(Table1[[#This Row],[Required_Qty]]&gt;Table1[[#This Row],[Available_Qty]],Table1[[#This Row],[Required_Qty]]-Table1[[#This Row],[Available_Qty]],0)</f>
        <v>0</v>
      </c>
      <c r="M120" s="7">
        <f>IF(Table1[[#This Row],[Required_Qty]]&lt;Table1[[#This Row],[Available_Qty]],Table1[[#This Row],[Available_Qty]]-Table1[[#This Row],[Required_Qty]],0)</f>
        <v>56</v>
      </c>
      <c r="N120">
        <v>301264</v>
      </c>
      <c r="O120" s="7">
        <f>IF(AND(Table1[[#This Row],[Clean_Shortage]]&gt;0,Table1[[#This Row],[Lead_Time_Days]]&gt;10),1,0)</f>
        <v>0</v>
      </c>
    </row>
    <row r="121" spans="1:15" hidden="1" x14ac:dyDescent="0.3">
      <c r="A121" t="s">
        <v>131</v>
      </c>
      <c r="B121" t="s">
        <v>514</v>
      </c>
      <c r="C121" t="s">
        <v>518</v>
      </c>
      <c r="D121">
        <v>62</v>
      </c>
      <c r="E121">
        <v>106</v>
      </c>
      <c r="F121">
        <v>29</v>
      </c>
      <c r="G121">
        <v>8137</v>
      </c>
      <c r="H121">
        <v>14</v>
      </c>
      <c r="I121" s="1">
        <v>45046</v>
      </c>
      <c r="J121" s="7">
        <f>Table1[[#This Row],[Required_Qty]]-Table1[[#This Row],[Available_Qty]]</f>
        <v>-44</v>
      </c>
      <c r="K121" s="7">
        <v>44</v>
      </c>
      <c r="L121" s="7">
        <f>IF(Table1[[#This Row],[Required_Qty]]&gt;Table1[[#This Row],[Available_Qty]],Table1[[#This Row],[Required_Qty]]-Table1[[#This Row],[Available_Qty]],0)</f>
        <v>0</v>
      </c>
      <c r="M121" s="7">
        <f>IF(Table1[[#This Row],[Required_Qty]]&lt;Table1[[#This Row],[Available_Qty]],Table1[[#This Row],[Available_Qty]]-Table1[[#This Row],[Required_Qty]],0)</f>
        <v>44</v>
      </c>
      <c r="N121">
        <v>235973</v>
      </c>
      <c r="O121" s="7">
        <f>IF(AND(Table1[[#This Row],[Clean_Shortage]]&gt;0,Table1[[#This Row],[Lead_Time_Days]]&gt;10),1,0)</f>
        <v>0</v>
      </c>
    </row>
    <row r="122" spans="1:15" hidden="1" x14ac:dyDescent="0.3">
      <c r="A122" t="s">
        <v>132</v>
      </c>
      <c r="B122" t="s">
        <v>513</v>
      </c>
      <c r="C122" t="s">
        <v>516</v>
      </c>
      <c r="D122">
        <v>31</v>
      </c>
      <c r="E122">
        <v>102</v>
      </c>
      <c r="F122">
        <v>32</v>
      </c>
      <c r="G122">
        <v>1963</v>
      </c>
      <c r="H122">
        <v>7</v>
      </c>
      <c r="I122" s="1">
        <v>45047</v>
      </c>
      <c r="J122" s="7">
        <f>Table1[[#This Row],[Required_Qty]]-Table1[[#This Row],[Available_Qty]]</f>
        <v>-71</v>
      </c>
      <c r="K122" s="7">
        <v>71</v>
      </c>
      <c r="L122" s="7">
        <f>IF(Table1[[#This Row],[Required_Qty]]&gt;Table1[[#This Row],[Available_Qty]],Table1[[#This Row],[Required_Qty]]-Table1[[#This Row],[Available_Qty]],0)</f>
        <v>0</v>
      </c>
      <c r="M122" s="7">
        <f>IF(Table1[[#This Row],[Required_Qty]]&lt;Table1[[#This Row],[Available_Qty]],Table1[[#This Row],[Available_Qty]]-Table1[[#This Row],[Required_Qty]],0)</f>
        <v>71</v>
      </c>
      <c r="N122">
        <v>62816</v>
      </c>
      <c r="O122" s="7">
        <f>IF(AND(Table1[[#This Row],[Clean_Shortage]]&gt;0,Table1[[#This Row],[Lead_Time_Days]]&gt;10),1,0)</f>
        <v>0</v>
      </c>
    </row>
    <row r="123" spans="1:15" hidden="1" x14ac:dyDescent="0.3">
      <c r="A123" t="s">
        <v>133</v>
      </c>
      <c r="B123" t="s">
        <v>514</v>
      </c>
      <c r="C123" t="s">
        <v>517</v>
      </c>
      <c r="D123">
        <v>30</v>
      </c>
      <c r="E123">
        <v>16</v>
      </c>
      <c r="F123">
        <v>76</v>
      </c>
      <c r="G123">
        <v>1536</v>
      </c>
      <c r="H123">
        <v>1</v>
      </c>
      <c r="I123" s="1">
        <v>45048</v>
      </c>
      <c r="J123" s="7">
        <f>Table1[[#This Row],[Required_Qty]]-Table1[[#This Row],[Available_Qty]]</f>
        <v>14</v>
      </c>
      <c r="K123" s="7">
        <v>-14</v>
      </c>
      <c r="L123" s="7">
        <f>IF(Table1[[#This Row],[Required_Qty]]&gt;Table1[[#This Row],[Available_Qty]],Table1[[#This Row],[Required_Qty]]-Table1[[#This Row],[Available_Qty]],0)</f>
        <v>14</v>
      </c>
      <c r="M123" s="7">
        <f>IF(Table1[[#This Row],[Required_Qty]]&lt;Table1[[#This Row],[Available_Qty]],Table1[[#This Row],[Available_Qty]]-Table1[[#This Row],[Required_Qty]],0)</f>
        <v>0</v>
      </c>
      <c r="N123">
        <v>116736</v>
      </c>
      <c r="O123" s="7">
        <f>IF(AND(Table1[[#This Row],[Clean_Shortage]]&gt;0,Table1[[#This Row],[Lead_Time_Days]]&gt;10),1,0)</f>
        <v>0</v>
      </c>
    </row>
    <row r="124" spans="1:15" x14ac:dyDescent="0.3">
      <c r="A124" t="s">
        <v>134</v>
      </c>
      <c r="B124" t="s">
        <v>515</v>
      </c>
      <c r="C124" t="s">
        <v>518</v>
      </c>
      <c r="D124">
        <v>79</v>
      </c>
      <c r="E124">
        <v>23</v>
      </c>
      <c r="F124">
        <v>25</v>
      </c>
      <c r="G124">
        <v>8340</v>
      </c>
      <c r="H124">
        <v>13</v>
      </c>
      <c r="I124" s="1">
        <v>45049</v>
      </c>
      <c r="J124" s="7">
        <f>Table1[[#This Row],[Required_Qty]]-Table1[[#This Row],[Available_Qty]]</f>
        <v>56</v>
      </c>
      <c r="K124" s="7">
        <v>-56</v>
      </c>
      <c r="L124" s="7">
        <f>IF(Table1[[#This Row],[Required_Qty]]&gt;Table1[[#This Row],[Available_Qty]],Table1[[#This Row],[Required_Qty]]-Table1[[#This Row],[Available_Qty]],0)</f>
        <v>56</v>
      </c>
      <c r="M124" s="7">
        <f>IF(Table1[[#This Row],[Required_Qty]]&lt;Table1[[#This Row],[Available_Qty]],Table1[[#This Row],[Available_Qty]]-Table1[[#This Row],[Required_Qty]],0)</f>
        <v>0</v>
      </c>
      <c r="N124">
        <v>208500</v>
      </c>
      <c r="O124" s="7">
        <f>IF(AND(Table1[[#This Row],[Clean_Shortage]]&gt;0,Table1[[#This Row],[Lead_Time_Days]]&gt;10),1,0)</f>
        <v>1</v>
      </c>
    </row>
    <row r="125" spans="1:15" hidden="1" x14ac:dyDescent="0.3">
      <c r="A125" t="s">
        <v>135</v>
      </c>
      <c r="B125" t="s">
        <v>512</v>
      </c>
      <c r="C125" t="s">
        <v>517</v>
      </c>
      <c r="D125">
        <v>79</v>
      </c>
      <c r="E125">
        <v>105</v>
      </c>
      <c r="F125">
        <v>21</v>
      </c>
      <c r="G125">
        <v>8179</v>
      </c>
      <c r="H125">
        <v>7</v>
      </c>
      <c r="I125" s="1">
        <v>45050</v>
      </c>
      <c r="J125" s="7">
        <f>Table1[[#This Row],[Required_Qty]]-Table1[[#This Row],[Available_Qty]]</f>
        <v>-26</v>
      </c>
      <c r="K125" s="7">
        <v>26</v>
      </c>
      <c r="L125" s="7">
        <f>IF(Table1[[#This Row],[Required_Qty]]&gt;Table1[[#This Row],[Available_Qty]],Table1[[#This Row],[Required_Qty]]-Table1[[#This Row],[Available_Qty]],0)</f>
        <v>0</v>
      </c>
      <c r="M125" s="7">
        <f>IF(Table1[[#This Row],[Required_Qty]]&lt;Table1[[#This Row],[Available_Qty]],Table1[[#This Row],[Available_Qty]]-Table1[[#This Row],[Required_Qty]],0)</f>
        <v>26</v>
      </c>
      <c r="N125">
        <v>171759</v>
      </c>
      <c r="O125" s="7">
        <f>IF(AND(Table1[[#This Row],[Clean_Shortage]]&gt;0,Table1[[#This Row],[Lead_Time_Days]]&gt;10),1,0)</f>
        <v>0</v>
      </c>
    </row>
    <row r="126" spans="1:15" hidden="1" x14ac:dyDescent="0.3">
      <c r="A126" t="s">
        <v>136</v>
      </c>
      <c r="B126" t="s">
        <v>514</v>
      </c>
      <c r="C126" t="s">
        <v>517</v>
      </c>
      <c r="D126">
        <v>13</v>
      </c>
      <c r="E126">
        <v>48</v>
      </c>
      <c r="F126">
        <v>65</v>
      </c>
      <c r="G126">
        <v>8967</v>
      </c>
      <c r="H126">
        <v>5</v>
      </c>
      <c r="I126" s="1">
        <v>45051</v>
      </c>
      <c r="J126" s="7">
        <f>Table1[[#This Row],[Required_Qty]]-Table1[[#This Row],[Available_Qty]]</f>
        <v>-35</v>
      </c>
      <c r="K126" s="7">
        <v>35</v>
      </c>
      <c r="L126" s="7">
        <f>IF(Table1[[#This Row],[Required_Qty]]&gt;Table1[[#This Row],[Available_Qty]],Table1[[#This Row],[Required_Qty]]-Table1[[#This Row],[Available_Qty]],0)</f>
        <v>0</v>
      </c>
      <c r="M126" s="7">
        <f>IF(Table1[[#This Row],[Required_Qty]]&lt;Table1[[#This Row],[Available_Qty]],Table1[[#This Row],[Available_Qty]]-Table1[[#This Row],[Required_Qty]],0)</f>
        <v>35</v>
      </c>
      <c r="N126">
        <v>582855</v>
      </c>
      <c r="O126" s="7">
        <f>IF(AND(Table1[[#This Row],[Clean_Shortage]]&gt;0,Table1[[#This Row],[Lead_Time_Days]]&gt;10),1,0)</f>
        <v>0</v>
      </c>
    </row>
    <row r="127" spans="1:15" hidden="1" x14ac:dyDescent="0.3">
      <c r="A127" t="s">
        <v>137</v>
      </c>
      <c r="B127" t="s">
        <v>513</v>
      </c>
      <c r="C127" t="s">
        <v>518</v>
      </c>
      <c r="D127">
        <v>84</v>
      </c>
      <c r="E127">
        <v>63</v>
      </c>
      <c r="F127">
        <v>37</v>
      </c>
      <c r="G127">
        <v>9734</v>
      </c>
      <c r="H127">
        <v>5</v>
      </c>
      <c r="I127" s="1">
        <v>45052</v>
      </c>
      <c r="J127" s="7">
        <f>Table1[[#This Row],[Required_Qty]]-Table1[[#This Row],[Available_Qty]]</f>
        <v>21</v>
      </c>
      <c r="K127" s="7">
        <v>-21</v>
      </c>
      <c r="L127" s="7">
        <f>IF(Table1[[#This Row],[Required_Qty]]&gt;Table1[[#This Row],[Available_Qty]],Table1[[#This Row],[Required_Qty]]-Table1[[#This Row],[Available_Qty]],0)</f>
        <v>21</v>
      </c>
      <c r="M127" s="7">
        <f>IF(Table1[[#This Row],[Required_Qty]]&lt;Table1[[#This Row],[Available_Qty]],Table1[[#This Row],[Available_Qty]]-Table1[[#This Row],[Required_Qty]],0)</f>
        <v>0</v>
      </c>
      <c r="N127">
        <v>360158</v>
      </c>
      <c r="O127" s="7">
        <f>IF(AND(Table1[[#This Row],[Clean_Shortage]]&gt;0,Table1[[#This Row],[Lead_Time_Days]]&gt;10),1,0)</f>
        <v>0</v>
      </c>
    </row>
    <row r="128" spans="1:15" x14ac:dyDescent="0.3">
      <c r="A128" t="s">
        <v>138</v>
      </c>
      <c r="B128" t="s">
        <v>515</v>
      </c>
      <c r="C128" t="s">
        <v>517</v>
      </c>
      <c r="D128">
        <v>71</v>
      </c>
      <c r="E128">
        <v>53</v>
      </c>
      <c r="F128">
        <v>45</v>
      </c>
      <c r="G128">
        <v>1845</v>
      </c>
      <c r="H128">
        <v>14</v>
      </c>
      <c r="I128" s="1">
        <v>45053</v>
      </c>
      <c r="J128" s="7">
        <f>Table1[[#This Row],[Required_Qty]]-Table1[[#This Row],[Available_Qty]]</f>
        <v>18</v>
      </c>
      <c r="K128" s="7">
        <v>-18</v>
      </c>
      <c r="L128" s="7">
        <f>IF(Table1[[#This Row],[Required_Qty]]&gt;Table1[[#This Row],[Available_Qty]],Table1[[#This Row],[Required_Qty]]-Table1[[#This Row],[Available_Qty]],0)</f>
        <v>18</v>
      </c>
      <c r="M128" s="7">
        <f>IF(Table1[[#This Row],[Required_Qty]]&lt;Table1[[#This Row],[Available_Qty]],Table1[[#This Row],[Available_Qty]]-Table1[[#This Row],[Required_Qty]],0)</f>
        <v>0</v>
      </c>
      <c r="N128">
        <v>83025</v>
      </c>
      <c r="O128" s="7">
        <f>IF(AND(Table1[[#This Row],[Clean_Shortage]]&gt;0,Table1[[#This Row],[Lead_Time_Days]]&gt;10),1,0)</f>
        <v>1</v>
      </c>
    </row>
    <row r="129" spans="1:15" x14ac:dyDescent="0.3">
      <c r="A129" t="s">
        <v>139</v>
      </c>
      <c r="B129" t="s">
        <v>514</v>
      </c>
      <c r="C129" t="s">
        <v>516</v>
      </c>
      <c r="D129">
        <v>71</v>
      </c>
      <c r="E129">
        <v>65</v>
      </c>
      <c r="F129">
        <v>14</v>
      </c>
      <c r="G129">
        <v>6777</v>
      </c>
      <c r="H129">
        <v>13</v>
      </c>
      <c r="I129" s="1">
        <v>45054</v>
      </c>
      <c r="J129" s="7">
        <f>Table1[[#This Row],[Required_Qty]]-Table1[[#This Row],[Available_Qty]]</f>
        <v>6</v>
      </c>
      <c r="K129" s="7">
        <v>-6</v>
      </c>
      <c r="L129" s="7">
        <f>IF(Table1[[#This Row],[Required_Qty]]&gt;Table1[[#This Row],[Available_Qty]],Table1[[#This Row],[Required_Qty]]-Table1[[#This Row],[Available_Qty]],0)</f>
        <v>6</v>
      </c>
      <c r="M129" s="7">
        <f>IF(Table1[[#This Row],[Required_Qty]]&lt;Table1[[#This Row],[Available_Qty]],Table1[[#This Row],[Available_Qty]]-Table1[[#This Row],[Required_Qty]],0)</f>
        <v>0</v>
      </c>
      <c r="N129">
        <v>94878</v>
      </c>
      <c r="O129" s="7">
        <f>IF(AND(Table1[[#This Row],[Clean_Shortage]]&gt;0,Table1[[#This Row],[Lead_Time_Days]]&gt;10),1,0)</f>
        <v>1</v>
      </c>
    </row>
    <row r="130" spans="1:15" hidden="1" x14ac:dyDescent="0.3">
      <c r="A130" t="s">
        <v>140</v>
      </c>
      <c r="B130" t="s">
        <v>513</v>
      </c>
      <c r="C130" t="s">
        <v>517</v>
      </c>
      <c r="D130">
        <v>33</v>
      </c>
      <c r="E130">
        <v>21</v>
      </c>
      <c r="F130">
        <v>43</v>
      </c>
      <c r="G130">
        <v>4036</v>
      </c>
      <c r="H130">
        <v>2</v>
      </c>
      <c r="I130" s="1">
        <v>45055</v>
      </c>
      <c r="J130" s="7">
        <f>Table1[[#This Row],[Required_Qty]]-Table1[[#This Row],[Available_Qty]]</f>
        <v>12</v>
      </c>
      <c r="K130" s="7">
        <v>-12</v>
      </c>
      <c r="L130" s="7">
        <f>IF(Table1[[#This Row],[Required_Qty]]&gt;Table1[[#This Row],[Available_Qty]],Table1[[#This Row],[Required_Qty]]-Table1[[#This Row],[Available_Qty]],0)</f>
        <v>12</v>
      </c>
      <c r="M130" s="7">
        <f>IF(Table1[[#This Row],[Required_Qty]]&lt;Table1[[#This Row],[Available_Qty]],Table1[[#This Row],[Available_Qty]]-Table1[[#This Row],[Required_Qty]],0)</f>
        <v>0</v>
      </c>
      <c r="N130">
        <v>173548</v>
      </c>
      <c r="O130" s="7">
        <f>IF(AND(Table1[[#This Row],[Clean_Shortage]]&gt;0,Table1[[#This Row],[Lead_Time_Days]]&gt;10),1,0)</f>
        <v>0</v>
      </c>
    </row>
    <row r="131" spans="1:15" hidden="1" x14ac:dyDescent="0.3">
      <c r="A131" t="s">
        <v>141</v>
      </c>
      <c r="B131" t="s">
        <v>513</v>
      </c>
      <c r="C131" t="s">
        <v>518</v>
      </c>
      <c r="D131">
        <v>64</v>
      </c>
      <c r="E131">
        <v>78</v>
      </c>
      <c r="F131">
        <v>48</v>
      </c>
      <c r="G131">
        <v>6947</v>
      </c>
      <c r="H131">
        <v>4</v>
      </c>
      <c r="I131" s="1">
        <v>45056</v>
      </c>
      <c r="J131" s="7">
        <f>Table1[[#This Row],[Required_Qty]]-Table1[[#This Row],[Available_Qty]]</f>
        <v>-14</v>
      </c>
      <c r="K131" s="7">
        <v>14</v>
      </c>
      <c r="L131" s="7">
        <f>IF(Table1[[#This Row],[Required_Qty]]&gt;Table1[[#This Row],[Available_Qty]],Table1[[#This Row],[Required_Qty]]-Table1[[#This Row],[Available_Qty]],0)</f>
        <v>0</v>
      </c>
      <c r="M131" s="7">
        <f>IF(Table1[[#This Row],[Required_Qty]]&lt;Table1[[#This Row],[Available_Qty]],Table1[[#This Row],[Available_Qty]]-Table1[[#This Row],[Required_Qty]],0)</f>
        <v>14</v>
      </c>
      <c r="N131">
        <v>333456</v>
      </c>
      <c r="O131" s="7">
        <f>IF(AND(Table1[[#This Row],[Clean_Shortage]]&gt;0,Table1[[#This Row],[Lead_Time_Days]]&gt;10),1,0)</f>
        <v>0</v>
      </c>
    </row>
    <row r="132" spans="1:15" hidden="1" x14ac:dyDescent="0.3">
      <c r="A132" t="s">
        <v>142</v>
      </c>
      <c r="B132" t="s">
        <v>513</v>
      </c>
      <c r="C132" t="s">
        <v>518</v>
      </c>
      <c r="D132">
        <v>18</v>
      </c>
      <c r="E132">
        <v>61</v>
      </c>
      <c r="F132">
        <v>74</v>
      </c>
      <c r="G132">
        <v>3494</v>
      </c>
      <c r="H132">
        <v>12</v>
      </c>
      <c r="I132" s="1">
        <v>45057</v>
      </c>
      <c r="J132" s="7">
        <f>Table1[[#This Row],[Required_Qty]]-Table1[[#This Row],[Available_Qty]]</f>
        <v>-43</v>
      </c>
      <c r="K132" s="7">
        <v>43</v>
      </c>
      <c r="L132" s="7">
        <f>IF(Table1[[#This Row],[Required_Qty]]&gt;Table1[[#This Row],[Available_Qty]],Table1[[#This Row],[Required_Qty]]-Table1[[#This Row],[Available_Qty]],0)</f>
        <v>0</v>
      </c>
      <c r="M132" s="7">
        <f>IF(Table1[[#This Row],[Required_Qty]]&lt;Table1[[#This Row],[Available_Qty]],Table1[[#This Row],[Available_Qty]]-Table1[[#This Row],[Required_Qty]],0)</f>
        <v>43</v>
      </c>
      <c r="N132">
        <v>258556</v>
      </c>
      <c r="O132" s="7">
        <f>IF(AND(Table1[[#This Row],[Clean_Shortage]]&gt;0,Table1[[#This Row],[Lead_Time_Days]]&gt;10),1,0)</f>
        <v>0</v>
      </c>
    </row>
    <row r="133" spans="1:15" hidden="1" x14ac:dyDescent="0.3">
      <c r="A133" t="s">
        <v>143</v>
      </c>
      <c r="B133" t="s">
        <v>514</v>
      </c>
      <c r="C133" t="s">
        <v>518</v>
      </c>
      <c r="D133">
        <v>12</v>
      </c>
      <c r="E133">
        <v>59</v>
      </c>
      <c r="F133">
        <v>60</v>
      </c>
      <c r="G133">
        <v>3719</v>
      </c>
      <c r="H133">
        <v>6</v>
      </c>
      <c r="I133" s="1">
        <v>45058</v>
      </c>
      <c r="J133" s="7">
        <f>Table1[[#This Row],[Required_Qty]]-Table1[[#This Row],[Available_Qty]]</f>
        <v>-47</v>
      </c>
      <c r="K133" s="7">
        <v>47</v>
      </c>
      <c r="L133" s="7">
        <f>IF(Table1[[#This Row],[Required_Qty]]&gt;Table1[[#This Row],[Available_Qty]],Table1[[#This Row],[Required_Qty]]-Table1[[#This Row],[Available_Qty]],0)</f>
        <v>0</v>
      </c>
      <c r="M133" s="7">
        <f>IF(Table1[[#This Row],[Required_Qty]]&lt;Table1[[#This Row],[Available_Qty]],Table1[[#This Row],[Available_Qty]]-Table1[[#This Row],[Required_Qty]],0)</f>
        <v>47</v>
      </c>
      <c r="N133">
        <v>223140</v>
      </c>
      <c r="O133" s="7">
        <f>IF(AND(Table1[[#This Row],[Clean_Shortage]]&gt;0,Table1[[#This Row],[Lead_Time_Days]]&gt;10),1,0)</f>
        <v>0</v>
      </c>
    </row>
    <row r="134" spans="1:15" hidden="1" x14ac:dyDescent="0.3">
      <c r="A134" t="s">
        <v>144</v>
      </c>
      <c r="B134" t="s">
        <v>514</v>
      </c>
      <c r="C134" t="s">
        <v>517</v>
      </c>
      <c r="D134">
        <v>40</v>
      </c>
      <c r="E134">
        <v>117</v>
      </c>
      <c r="F134">
        <v>66</v>
      </c>
      <c r="G134">
        <v>2884</v>
      </c>
      <c r="H134">
        <v>10</v>
      </c>
      <c r="I134" s="1">
        <v>45059</v>
      </c>
      <c r="J134" s="7">
        <f>Table1[[#This Row],[Required_Qty]]-Table1[[#This Row],[Available_Qty]]</f>
        <v>-77</v>
      </c>
      <c r="K134" s="7">
        <v>77</v>
      </c>
      <c r="L134" s="7">
        <f>IF(Table1[[#This Row],[Required_Qty]]&gt;Table1[[#This Row],[Available_Qty]],Table1[[#This Row],[Required_Qty]]-Table1[[#This Row],[Available_Qty]],0)</f>
        <v>0</v>
      </c>
      <c r="M134" s="7">
        <f>IF(Table1[[#This Row],[Required_Qty]]&lt;Table1[[#This Row],[Available_Qty]],Table1[[#This Row],[Available_Qty]]-Table1[[#This Row],[Required_Qty]],0)</f>
        <v>77</v>
      </c>
      <c r="N134">
        <v>190344</v>
      </c>
      <c r="O134" s="7">
        <f>IF(AND(Table1[[#This Row],[Clean_Shortage]]&gt;0,Table1[[#This Row],[Lead_Time_Days]]&gt;10),1,0)</f>
        <v>0</v>
      </c>
    </row>
    <row r="135" spans="1:15" hidden="1" x14ac:dyDescent="0.3">
      <c r="A135" t="s">
        <v>145</v>
      </c>
      <c r="B135" t="s">
        <v>514</v>
      </c>
      <c r="C135" t="s">
        <v>518</v>
      </c>
      <c r="D135">
        <v>49</v>
      </c>
      <c r="E135">
        <v>51</v>
      </c>
      <c r="F135">
        <v>5</v>
      </c>
      <c r="G135">
        <v>5349</v>
      </c>
      <c r="H135">
        <v>11</v>
      </c>
      <c r="I135" s="1">
        <v>45060</v>
      </c>
      <c r="J135" s="7">
        <f>Table1[[#This Row],[Required_Qty]]-Table1[[#This Row],[Available_Qty]]</f>
        <v>-2</v>
      </c>
      <c r="K135" s="7">
        <v>2</v>
      </c>
      <c r="L135" s="7">
        <f>IF(Table1[[#This Row],[Required_Qty]]&gt;Table1[[#This Row],[Available_Qty]],Table1[[#This Row],[Required_Qty]]-Table1[[#This Row],[Available_Qty]],0)</f>
        <v>0</v>
      </c>
      <c r="M135" s="7">
        <f>IF(Table1[[#This Row],[Required_Qty]]&lt;Table1[[#This Row],[Available_Qty]],Table1[[#This Row],[Available_Qty]]-Table1[[#This Row],[Required_Qty]],0)</f>
        <v>2</v>
      </c>
      <c r="N135">
        <v>26745</v>
      </c>
      <c r="O135" s="7">
        <f>IF(AND(Table1[[#This Row],[Clean_Shortage]]&gt;0,Table1[[#This Row],[Lead_Time_Days]]&gt;10),1,0)</f>
        <v>0</v>
      </c>
    </row>
    <row r="136" spans="1:15" hidden="1" x14ac:dyDescent="0.3">
      <c r="A136" t="s">
        <v>146</v>
      </c>
      <c r="B136" t="s">
        <v>512</v>
      </c>
      <c r="C136" t="s">
        <v>518</v>
      </c>
      <c r="D136">
        <v>45</v>
      </c>
      <c r="E136">
        <v>16</v>
      </c>
      <c r="F136">
        <v>8</v>
      </c>
      <c r="G136">
        <v>6179</v>
      </c>
      <c r="H136">
        <v>7</v>
      </c>
      <c r="I136" s="1">
        <v>45061</v>
      </c>
      <c r="J136" s="7">
        <f>Table1[[#This Row],[Required_Qty]]-Table1[[#This Row],[Available_Qty]]</f>
        <v>29</v>
      </c>
      <c r="K136" s="7">
        <v>-29</v>
      </c>
      <c r="L136" s="7">
        <f>IF(Table1[[#This Row],[Required_Qty]]&gt;Table1[[#This Row],[Available_Qty]],Table1[[#This Row],[Required_Qty]]-Table1[[#This Row],[Available_Qty]],0)</f>
        <v>29</v>
      </c>
      <c r="M136" s="7">
        <f>IF(Table1[[#This Row],[Required_Qty]]&lt;Table1[[#This Row],[Available_Qty]],Table1[[#This Row],[Available_Qty]]-Table1[[#This Row],[Required_Qty]],0)</f>
        <v>0</v>
      </c>
      <c r="N136">
        <v>49432</v>
      </c>
      <c r="O136" s="7">
        <f>IF(AND(Table1[[#This Row],[Clean_Shortage]]&gt;0,Table1[[#This Row],[Lead_Time_Days]]&gt;10),1,0)</f>
        <v>0</v>
      </c>
    </row>
    <row r="137" spans="1:15" hidden="1" x14ac:dyDescent="0.3">
      <c r="A137" t="s">
        <v>147</v>
      </c>
      <c r="B137" t="s">
        <v>514</v>
      </c>
      <c r="C137" t="s">
        <v>517</v>
      </c>
      <c r="D137">
        <v>33</v>
      </c>
      <c r="E137">
        <v>66</v>
      </c>
      <c r="F137">
        <v>5</v>
      </c>
      <c r="G137">
        <v>7610</v>
      </c>
      <c r="H137">
        <v>11</v>
      </c>
      <c r="I137" s="1">
        <v>45062</v>
      </c>
      <c r="J137" s="7">
        <f>Table1[[#This Row],[Required_Qty]]-Table1[[#This Row],[Available_Qty]]</f>
        <v>-33</v>
      </c>
      <c r="K137" s="7">
        <v>33</v>
      </c>
      <c r="L137" s="7">
        <f>IF(Table1[[#This Row],[Required_Qty]]&gt;Table1[[#This Row],[Available_Qty]],Table1[[#This Row],[Required_Qty]]-Table1[[#This Row],[Available_Qty]],0)</f>
        <v>0</v>
      </c>
      <c r="M137" s="7">
        <f>IF(Table1[[#This Row],[Required_Qty]]&lt;Table1[[#This Row],[Available_Qty]],Table1[[#This Row],[Available_Qty]]-Table1[[#This Row],[Required_Qty]],0)</f>
        <v>33</v>
      </c>
      <c r="N137">
        <v>38050</v>
      </c>
      <c r="O137" s="7">
        <f>IF(AND(Table1[[#This Row],[Clean_Shortage]]&gt;0,Table1[[#This Row],[Lead_Time_Days]]&gt;10),1,0)</f>
        <v>0</v>
      </c>
    </row>
    <row r="138" spans="1:15" hidden="1" x14ac:dyDescent="0.3">
      <c r="A138" t="s">
        <v>148</v>
      </c>
      <c r="B138" t="s">
        <v>514</v>
      </c>
      <c r="C138" t="s">
        <v>516</v>
      </c>
      <c r="D138">
        <v>15</v>
      </c>
      <c r="E138">
        <v>84</v>
      </c>
      <c r="F138">
        <v>72</v>
      </c>
      <c r="G138">
        <v>7430</v>
      </c>
      <c r="H138">
        <v>5</v>
      </c>
      <c r="I138" s="1">
        <v>45063</v>
      </c>
      <c r="J138" s="7">
        <f>Table1[[#This Row],[Required_Qty]]-Table1[[#This Row],[Available_Qty]]</f>
        <v>-69</v>
      </c>
      <c r="K138" s="7">
        <v>69</v>
      </c>
      <c r="L138" s="7">
        <f>IF(Table1[[#This Row],[Required_Qty]]&gt;Table1[[#This Row],[Available_Qty]],Table1[[#This Row],[Required_Qty]]-Table1[[#This Row],[Available_Qty]],0)</f>
        <v>0</v>
      </c>
      <c r="M138" s="7">
        <f>IF(Table1[[#This Row],[Required_Qty]]&lt;Table1[[#This Row],[Available_Qty]],Table1[[#This Row],[Available_Qty]]-Table1[[#This Row],[Required_Qty]],0)</f>
        <v>69</v>
      </c>
      <c r="N138">
        <v>534960</v>
      </c>
      <c r="O138" s="7">
        <f>IF(AND(Table1[[#This Row],[Clean_Shortage]]&gt;0,Table1[[#This Row],[Lead_Time_Days]]&gt;10),1,0)</f>
        <v>0</v>
      </c>
    </row>
    <row r="139" spans="1:15" hidden="1" x14ac:dyDescent="0.3">
      <c r="A139" t="s">
        <v>149</v>
      </c>
      <c r="B139" t="s">
        <v>514</v>
      </c>
      <c r="C139" t="s">
        <v>517</v>
      </c>
      <c r="D139">
        <v>75</v>
      </c>
      <c r="E139">
        <v>92</v>
      </c>
      <c r="F139">
        <v>31</v>
      </c>
      <c r="G139">
        <v>8154</v>
      </c>
      <c r="H139">
        <v>9</v>
      </c>
      <c r="I139" s="1">
        <v>45064</v>
      </c>
      <c r="J139" s="7">
        <f>Table1[[#This Row],[Required_Qty]]-Table1[[#This Row],[Available_Qty]]</f>
        <v>-17</v>
      </c>
      <c r="K139" s="7">
        <v>17</v>
      </c>
      <c r="L139" s="7">
        <f>IF(Table1[[#This Row],[Required_Qty]]&gt;Table1[[#This Row],[Available_Qty]],Table1[[#This Row],[Required_Qty]]-Table1[[#This Row],[Available_Qty]],0)</f>
        <v>0</v>
      </c>
      <c r="M139" s="7">
        <f>IF(Table1[[#This Row],[Required_Qty]]&lt;Table1[[#This Row],[Available_Qty]],Table1[[#This Row],[Available_Qty]]-Table1[[#This Row],[Required_Qty]],0)</f>
        <v>17</v>
      </c>
      <c r="N139">
        <v>252774</v>
      </c>
      <c r="O139" s="7">
        <f>IF(AND(Table1[[#This Row],[Clean_Shortage]]&gt;0,Table1[[#This Row],[Lead_Time_Days]]&gt;10),1,0)</f>
        <v>0</v>
      </c>
    </row>
    <row r="140" spans="1:15" hidden="1" x14ac:dyDescent="0.3">
      <c r="A140" t="s">
        <v>150</v>
      </c>
      <c r="B140" t="s">
        <v>512</v>
      </c>
      <c r="C140" t="s">
        <v>518</v>
      </c>
      <c r="D140">
        <v>93</v>
      </c>
      <c r="E140">
        <v>87</v>
      </c>
      <c r="F140">
        <v>40</v>
      </c>
      <c r="G140">
        <v>7488</v>
      </c>
      <c r="H140">
        <v>3</v>
      </c>
      <c r="I140" s="1">
        <v>45065</v>
      </c>
      <c r="J140" s="7">
        <f>Table1[[#This Row],[Required_Qty]]-Table1[[#This Row],[Available_Qty]]</f>
        <v>6</v>
      </c>
      <c r="K140" s="7">
        <v>-6</v>
      </c>
      <c r="L140" s="7">
        <f>IF(Table1[[#This Row],[Required_Qty]]&gt;Table1[[#This Row],[Available_Qty]],Table1[[#This Row],[Required_Qty]]-Table1[[#This Row],[Available_Qty]],0)</f>
        <v>6</v>
      </c>
      <c r="M140" s="7">
        <f>IF(Table1[[#This Row],[Required_Qty]]&lt;Table1[[#This Row],[Available_Qty]],Table1[[#This Row],[Available_Qty]]-Table1[[#This Row],[Required_Qty]],0)</f>
        <v>0</v>
      </c>
      <c r="N140">
        <v>299520</v>
      </c>
      <c r="O140" s="7">
        <f>IF(AND(Table1[[#This Row],[Clean_Shortage]]&gt;0,Table1[[#This Row],[Lead_Time_Days]]&gt;10),1,0)</f>
        <v>0</v>
      </c>
    </row>
    <row r="141" spans="1:15" hidden="1" x14ac:dyDescent="0.3">
      <c r="A141" t="s">
        <v>151</v>
      </c>
      <c r="B141" t="s">
        <v>514</v>
      </c>
      <c r="C141" t="s">
        <v>518</v>
      </c>
      <c r="D141">
        <v>84</v>
      </c>
      <c r="E141">
        <v>12</v>
      </c>
      <c r="F141">
        <v>75</v>
      </c>
      <c r="G141">
        <v>5737</v>
      </c>
      <c r="H141">
        <v>1</v>
      </c>
      <c r="I141" s="1">
        <v>45066</v>
      </c>
      <c r="J141" s="7">
        <f>Table1[[#This Row],[Required_Qty]]-Table1[[#This Row],[Available_Qty]]</f>
        <v>72</v>
      </c>
      <c r="K141" s="7">
        <v>-72</v>
      </c>
      <c r="L141" s="7">
        <f>IF(Table1[[#This Row],[Required_Qty]]&gt;Table1[[#This Row],[Available_Qty]],Table1[[#This Row],[Required_Qty]]-Table1[[#This Row],[Available_Qty]],0)</f>
        <v>72</v>
      </c>
      <c r="M141" s="7">
        <f>IF(Table1[[#This Row],[Required_Qty]]&lt;Table1[[#This Row],[Available_Qty]],Table1[[#This Row],[Available_Qty]]-Table1[[#This Row],[Required_Qty]],0)</f>
        <v>0</v>
      </c>
      <c r="N141">
        <v>430275</v>
      </c>
      <c r="O141" s="7">
        <f>IF(AND(Table1[[#This Row],[Clean_Shortage]]&gt;0,Table1[[#This Row],[Lead_Time_Days]]&gt;10),1,0)</f>
        <v>0</v>
      </c>
    </row>
    <row r="142" spans="1:15" hidden="1" x14ac:dyDescent="0.3">
      <c r="A142" t="s">
        <v>152</v>
      </c>
      <c r="B142" t="s">
        <v>513</v>
      </c>
      <c r="C142" t="s">
        <v>517</v>
      </c>
      <c r="D142">
        <v>13</v>
      </c>
      <c r="E142">
        <v>99</v>
      </c>
      <c r="F142">
        <v>7</v>
      </c>
      <c r="G142">
        <v>7525</v>
      </c>
      <c r="H142">
        <v>4</v>
      </c>
      <c r="I142" s="1">
        <v>45067</v>
      </c>
      <c r="J142" s="7">
        <f>Table1[[#This Row],[Required_Qty]]-Table1[[#This Row],[Available_Qty]]</f>
        <v>-86</v>
      </c>
      <c r="K142" s="7">
        <v>86</v>
      </c>
      <c r="L142" s="7">
        <f>IF(Table1[[#This Row],[Required_Qty]]&gt;Table1[[#This Row],[Available_Qty]],Table1[[#This Row],[Required_Qty]]-Table1[[#This Row],[Available_Qty]],0)</f>
        <v>0</v>
      </c>
      <c r="M142" s="7">
        <f>IF(Table1[[#This Row],[Required_Qty]]&lt;Table1[[#This Row],[Available_Qty]],Table1[[#This Row],[Available_Qty]]-Table1[[#This Row],[Required_Qty]],0)</f>
        <v>86</v>
      </c>
      <c r="N142">
        <v>52675</v>
      </c>
      <c r="O142" s="7">
        <f>IF(AND(Table1[[#This Row],[Clean_Shortage]]&gt;0,Table1[[#This Row],[Lead_Time_Days]]&gt;10),1,0)</f>
        <v>0</v>
      </c>
    </row>
    <row r="143" spans="1:15" hidden="1" x14ac:dyDescent="0.3">
      <c r="A143" t="s">
        <v>153</v>
      </c>
      <c r="B143" t="s">
        <v>514</v>
      </c>
      <c r="C143" t="s">
        <v>516</v>
      </c>
      <c r="D143">
        <v>88</v>
      </c>
      <c r="E143">
        <v>25</v>
      </c>
      <c r="F143">
        <v>71</v>
      </c>
      <c r="G143">
        <v>4850</v>
      </c>
      <c r="H143">
        <v>9</v>
      </c>
      <c r="I143" s="1">
        <v>45068</v>
      </c>
      <c r="J143" s="7">
        <f>Table1[[#This Row],[Required_Qty]]-Table1[[#This Row],[Available_Qty]]</f>
        <v>63</v>
      </c>
      <c r="K143" s="7">
        <v>-63</v>
      </c>
      <c r="L143" s="7">
        <f>IF(Table1[[#This Row],[Required_Qty]]&gt;Table1[[#This Row],[Available_Qty]],Table1[[#This Row],[Required_Qty]]-Table1[[#This Row],[Available_Qty]],0)</f>
        <v>63</v>
      </c>
      <c r="M143" s="7">
        <f>IF(Table1[[#This Row],[Required_Qty]]&lt;Table1[[#This Row],[Available_Qty]],Table1[[#This Row],[Available_Qty]]-Table1[[#This Row],[Required_Qty]],0)</f>
        <v>0</v>
      </c>
      <c r="N143">
        <v>344350</v>
      </c>
      <c r="O143" s="7">
        <f>IF(AND(Table1[[#This Row],[Clean_Shortage]]&gt;0,Table1[[#This Row],[Lead_Time_Days]]&gt;10),1,0)</f>
        <v>0</v>
      </c>
    </row>
    <row r="144" spans="1:15" hidden="1" x14ac:dyDescent="0.3">
      <c r="A144" t="s">
        <v>154</v>
      </c>
      <c r="B144" t="s">
        <v>513</v>
      </c>
      <c r="C144" t="s">
        <v>518</v>
      </c>
      <c r="D144">
        <v>15</v>
      </c>
      <c r="E144">
        <v>85</v>
      </c>
      <c r="F144">
        <v>49</v>
      </c>
      <c r="G144">
        <v>1689</v>
      </c>
      <c r="H144">
        <v>4</v>
      </c>
      <c r="I144" s="1">
        <v>45069</v>
      </c>
      <c r="J144" s="7">
        <f>Table1[[#This Row],[Required_Qty]]-Table1[[#This Row],[Available_Qty]]</f>
        <v>-70</v>
      </c>
      <c r="K144" s="7">
        <v>70</v>
      </c>
      <c r="L144" s="7">
        <f>IF(Table1[[#This Row],[Required_Qty]]&gt;Table1[[#This Row],[Available_Qty]],Table1[[#This Row],[Required_Qty]]-Table1[[#This Row],[Available_Qty]],0)</f>
        <v>0</v>
      </c>
      <c r="M144" s="7">
        <f>IF(Table1[[#This Row],[Required_Qty]]&lt;Table1[[#This Row],[Available_Qty]],Table1[[#This Row],[Available_Qty]]-Table1[[#This Row],[Required_Qty]],0)</f>
        <v>70</v>
      </c>
      <c r="N144">
        <v>82761</v>
      </c>
      <c r="O144" s="7">
        <f>IF(AND(Table1[[#This Row],[Clean_Shortage]]&gt;0,Table1[[#This Row],[Lead_Time_Days]]&gt;10),1,0)</f>
        <v>0</v>
      </c>
    </row>
    <row r="145" spans="1:15" hidden="1" x14ac:dyDescent="0.3">
      <c r="A145" t="s">
        <v>155</v>
      </c>
      <c r="B145" t="s">
        <v>513</v>
      </c>
      <c r="C145" t="s">
        <v>518</v>
      </c>
      <c r="D145">
        <v>60</v>
      </c>
      <c r="E145">
        <v>91</v>
      </c>
      <c r="F145">
        <v>61</v>
      </c>
      <c r="G145">
        <v>6175</v>
      </c>
      <c r="H145">
        <v>2</v>
      </c>
      <c r="I145" s="1">
        <v>45070</v>
      </c>
      <c r="J145" s="7">
        <f>Table1[[#This Row],[Required_Qty]]-Table1[[#This Row],[Available_Qty]]</f>
        <v>-31</v>
      </c>
      <c r="K145" s="7">
        <v>31</v>
      </c>
      <c r="L145" s="7">
        <f>IF(Table1[[#This Row],[Required_Qty]]&gt;Table1[[#This Row],[Available_Qty]],Table1[[#This Row],[Required_Qty]]-Table1[[#This Row],[Available_Qty]],0)</f>
        <v>0</v>
      </c>
      <c r="M145" s="7">
        <f>IF(Table1[[#This Row],[Required_Qty]]&lt;Table1[[#This Row],[Available_Qty]],Table1[[#This Row],[Available_Qty]]-Table1[[#This Row],[Required_Qty]],0)</f>
        <v>31</v>
      </c>
      <c r="N145">
        <v>376675</v>
      </c>
      <c r="O145" s="7">
        <f>IF(AND(Table1[[#This Row],[Clean_Shortage]]&gt;0,Table1[[#This Row],[Lead_Time_Days]]&gt;10),1,0)</f>
        <v>0</v>
      </c>
    </row>
    <row r="146" spans="1:15" hidden="1" x14ac:dyDescent="0.3">
      <c r="A146" t="s">
        <v>156</v>
      </c>
      <c r="B146" t="s">
        <v>513</v>
      </c>
      <c r="C146" t="s">
        <v>518</v>
      </c>
      <c r="D146">
        <v>71</v>
      </c>
      <c r="E146">
        <v>105</v>
      </c>
      <c r="F146">
        <v>61</v>
      </c>
      <c r="G146">
        <v>9648</v>
      </c>
      <c r="H146">
        <v>10</v>
      </c>
      <c r="I146" s="1">
        <v>45071</v>
      </c>
      <c r="J146" s="7">
        <f>Table1[[#This Row],[Required_Qty]]-Table1[[#This Row],[Available_Qty]]</f>
        <v>-34</v>
      </c>
      <c r="K146" s="7">
        <v>34</v>
      </c>
      <c r="L146" s="7">
        <f>IF(Table1[[#This Row],[Required_Qty]]&gt;Table1[[#This Row],[Available_Qty]],Table1[[#This Row],[Required_Qty]]-Table1[[#This Row],[Available_Qty]],0)</f>
        <v>0</v>
      </c>
      <c r="M146" s="7">
        <f>IF(Table1[[#This Row],[Required_Qty]]&lt;Table1[[#This Row],[Available_Qty]],Table1[[#This Row],[Available_Qty]]-Table1[[#This Row],[Required_Qty]],0)</f>
        <v>34</v>
      </c>
      <c r="N146">
        <v>588528</v>
      </c>
      <c r="O146" s="7">
        <f>IF(AND(Table1[[#This Row],[Clean_Shortage]]&gt;0,Table1[[#This Row],[Lead_Time_Days]]&gt;10),1,0)</f>
        <v>0</v>
      </c>
    </row>
    <row r="147" spans="1:15" hidden="1" x14ac:dyDescent="0.3">
      <c r="A147" t="s">
        <v>157</v>
      </c>
      <c r="B147" t="s">
        <v>512</v>
      </c>
      <c r="C147" t="s">
        <v>517</v>
      </c>
      <c r="D147">
        <v>66</v>
      </c>
      <c r="E147">
        <v>84</v>
      </c>
      <c r="F147">
        <v>6</v>
      </c>
      <c r="G147">
        <v>6078</v>
      </c>
      <c r="H147">
        <v>14</v>
      </c>
      <c r="I147" s="1">
        <v>45072</v>
      </c>
      <c r="J147" s="7">
        <f>Table1[[#This Row],[Required_Qty]]-Table1[[#This Row],[Available_Qty]]</f>
        <v>-18</v>
      </c>
      <c r="K147" s="7">
        <v>18</v>
      </c>
      <c r="L147" s="7">
        <f>IF(Table1[[#This Row],[Required_Qty]]&gt;Table1[[#This Row],[Available_Qty]],Table1[[#This Row],[Required_Qty]]-Table1[[#This Row],[Available_Qty]],0)</f>
        <v>0</v>
      </c>
      <c r="M147" s="7">
        <f>IF(Table1[[#This Row],[Required_Qty]]&lt;Table1[[#This Row],[Available_Qty]],Table1[[#This Row],[Available_Qty]]-Table1[[#This Row],[Required_Qty]],0)</f>
        <v>18</v>
      </c>
      <c r="N147">
        <v>36468</v>
      </c>
      <c r="O147" s="7">
        <f>IF(AND(Table1[[#This Row],[Clean_Shortage]]&gt;0,Table1[[#This Row],[Lead_Time_Days]]&gt;10),1,0)</f>
        <v>0</v>
      </c>
    </row>
    <row r="148" spans="1:15" x14ac:dyDescent="0.3">
      <c r="A148" t="s">
        <v>158</v>
      </c>
      <c r="B148" t="s">
        <v>512</v>
      </c>
      <c r="C148" t="s">
        <v>518</v>
      </c>
      <c r="D148">
        <v>75</v>
      </c>
      <c r="E148">
        <v>74</v>
      </c>
      <c r="F148">
        <v>74</v>
      </c>
      <c r="G148">
        <v>6448</v>
      </c>
      <c r="H148">
        <v>14</v>
      </c>
      <c r="I148" s="1">
        <v>45073</v>
      </c>
      <c r="J148" s="7">
        <f>Table1[[#This Row],[Required_Qty]]-Table1[[#This Row],[Available_Qty]]</f>
        <v>1</v>
      </c>
      <c r="K148" s="7">
        <v>-1</v>
      </c>
      <c r="L148" s="7">
        <f>IF(Table1[[#This Row],[Required_Qty]]&gt;Table1[[#This Row],[Available_Qty]],Table1[[#This Row],[Required_Qty]]-Table1[[#This Row],[Available_Qty]],0)</f>
        <v>1</v>
      </c>
      <c r="M148" s="7">
        <f>IF(Table1[[#This Row],[Required_Qty]]&lt;Table1[[#This Row],[Available_Qty]],Table1[[#This Row],[Available_Qty]]-Table1[[#This Row],[Required_Qty]],0)</f>
        <v>0</v>
      </c>
      <c r="N148">
        <v>477152</v>
      </c>
      <c r="O148" s="7">
        <f>IF(AND(Table1[[#This Row],[Clean_Shortage]]&gt;0,Table1[[#This Row],[Lead_Time_Days]]&gt;10),1,0)</f>
        <v>1</v>
      </c>
    </row>
    <row r="149" spans="1:15" hidden="1" x14ac:dyDescent="0.3">
      <c r="A149" t="s">
        <v>159</v>
      </c>
      <c r="B149" t="s">
        <v>512</v>
      </c>
      <c r="C149" t="s">
        <v>516</v>
      </c>
      <c r="D149">
        <v>88</v>
      </c>
      <c r="E149">
        <v>76</v>
      </c>
      <c r="F149">
        <v>79</v>
      </c>
      <c r="G149">
        <v>2179</v>
      </c>
      <c r="H149">
        <v>5</v>
      </c>
      <c r="I149" s="1">
        <v>45074</v>
      </c>
      <c r="J149" s="7">
        <f>Table1[[#This Row],[Required_Qty]]-Table1[[#This Row],[Available_Qty]]</f>
        <v>12</v>
      </c>
      <c r="K149" s="7">
        <v>-12</v>
      </c>
      <c r="L149" s="7">
        <f>IF(Table1[[#This Row],[Required_Qty]]&gt;Table1[[#This Row],[Available_Qty]],Table1[[#This Row],[Required_Qty]]-Table1[[#This Row],[Available_Qty]],0)</f>
        <v>12</v>
      </c>
      <c r="M149" s="7">
        <f>IF(Table1[[#This Row],[Required_Qty]]&lt;Table1[[#This Row],[Available_Qty]],Table1[[#This Row],[Available_Qty]]-Table1[[#This Row],[Required_Qty]],0)</f>
        <v>0</v>
      </c>
      <c r="N149">
        <v>172141</v>
      </c>
      <c r="O149" s="7">
        <f>IF(AND(Table1[[#This Row],[Clean_Shortage]]&gt;0,Table1[[#This Row],[Lead_Time_Days]]&gt;10),1,0)</f>
        <v>0</v>
      </c>
    </row>
    <row r="150" spans="1:15" hidden="1" x14ac:dyDescent="0.3">
      <c r="A150" t="s">
        <v>160</v>
      </c>
      <c r="B150" t="s">
        <v>514</v>
      </c>
      <c r="C150" t="s">
        <v>518</v>
      </c>
      <c r="D150">
        <v>84</v>
      </c>
      <c r="E150">
        <v>29</v>
      </c>
      <c r="F150">
        <v>3</v>
      </c>
      <c r="G150">
        <v>7406</v>
      </c>
      <c r="H150">
        <v>3</v>
      </c>
      <c r="I150" s="1">
        <v>45075</v>
      </c>
      <c r="J150" s="7">
        <f>Table1[[#This Row],[Required_Qty]]-Table1[[#This Row],[Available_Qty]]</f>
        <v>55</v>
      </c>
      <c r="K150" s="7">
        <v>-55</v>
      </c>
      <c r="L150" s="7">
        <f>IF(Table1[[#This Row],[Required_Qty]]&gt;Table1[[#This Row],[Available_Qty]],Table1[[#This Row],[Required_Qty]]-Table1[[#This Row],[Available_Qty]],0)</f>
        <v>55</v>
      </c>
      <c r="M150" s="7">
        <f>IF(Table1[[#This Row],[Required_Qty]]&lt;Table1[[#This Row],[Available_Qty]],Table1[[#This Row],[Available_Qty]]-Table1[[#This Row],[Required_Qty]],0)</f>
        <v>0</v>
      </c>
      <c r="N150">
        <v>22218</v>
      </c>
      <c r="O150" s="7">
        <f>IF(AND(Table1[[#This Row],[Clean_Shortage]]&gt;0,Table1[[#This Row],[Lead_Time_Days]]&gt;10),1,0)</f>
        <v>0</v>
      </c>
    </row>
    <row r="151" spans="1:15" hidden="1" x14ac:dyDescent="0.3">
      <c r="A151" t="s">
        <v>161</v>
      </c>
      <c r="B151" t="s">
        <v>513</v>
      </c>
      <c r="C151" t="s">
        <v>518</v>
      </c>
      <c r="D151">
        <v>17</v>
      </c>
      <c r="E151">
        <v>86</v>
      </c>
      <c r="F151">
        <v>5</v>
      </c>
      <c r="G151">
        <v>9591</v>
      </c>
      <c r="H151">
        <v>13</v>
      </c>
      <c r="I151" s="1">
        <v>45076</v>
      </c>
      <c r="J151" s="7">
        <f>Table1[[#This Row],[Required_Qty]]-Table1[[#This Row],[Available_Qty]]</f>
        <v>-69</v>
      </c>
      <c r="K151" s="7">
        <v>69</v>
      </c>
      <c r="L151" s="7">
        <f>IF(Table1[[#This Row],[Required_Qty]]&gt;Table1[[#This Row],[Available_Qty]],Table1[[#This Row],[Required_Qty]]-Table1[[#This Row],[Available_Qty]],0)</f>
        <v>0</v>
      </c>
      <c r="M151" s="7">
        <f>IF(Table1[[#This Row],[Required_Qty]]&lt;Table1[[#This Row],[Available_Qty]],Table1[[#This Row],[Available_Qty]]-Table1[[#This Row],[Required_Qty]],0)</f>
        <v>69</v>
      </c>
      <c r="N151">
        <v>47955</v>
      </c>
      <c r="O151" s="7">
        <f>IF(AND(Table1[[#This Row],[Clean_Shortage]]&gt;0,Table1[[#This Row],[Lead_Time_Days]]&gt;10),1,0)</f>
        <v>0</v>
      </c>
    </row>
    <row r="152" spans="1:15" hidden="1" x14ac:dyDescent="0.3">
      <c r="A152" t="s">
        <v>162</v>
      </c>
      <c r="B152" t="s">
        <v>512</v>
      </c>
      <c r="C152" t="s">
        <v>516</v>
      </c>
      <c r="D152">
        <v>35</v>
      </c>
      <c r="E152">
        <v>93</v>
      </c>
      <c r="F152">
        <v>57</v>
      </c>
      <c r="G152">
        <v>7907</v>
      </c>
      <c r="H152">
        <v>12</v>
      </c>
      <c r="I152" s="1">
        <v>45077</v>
      </c>
      <c r="J152" s="7">
        <f>Table1[[#This Row],[Required_Qty]]-Table1[[#This Row],[Available_Qty]]</f>
        <v>-58</v>
      </c>
      <c r="K152" s="7">
        <v>58</v>
      </c>
      <c r="L152" s="7">
        <f>IF(Table1[[#This Row],[Required_Qty]]&gt;Table1[[#This Row],[Available_Qty]],Table1[[#This Row],[Required_Qty]]-Table1[[#This Row],[Available_Qty]],0)</f>
        <v>0</v>
      </c>
      <c r="M152" s="7">
        <f>IF(Table1[[#This Row],[Required_Qty]]&lt;Table1[[#This Row],[Available_Qty]],Table1[[#This Row],[Available_Qty]]-Table1[[#This Row],[Required_Qty]],0)</f>
        <v>58</v>
      </c>
      <c r="N152">
        <v>450699</v>
      </c>
      <c r="O152" s="7">
        <f>IF(AND(Table1[[#This Row],[Clean_Shortage]]&gt;0,Table1[[#This Row],[Lead_Time_Days]]&gt;10),1,0)</f>
        <v>0</v>
      </c>
    </row>
    <row r="153" spans="1:15" x14ac:dyDescent="0.3">
      <c r="A153" t="s">
        <v>163</v>
      </c>
      <c r="B153" t="s">
        <v>512</v>
      </c>
      <c r="C153" t="s">
        <v>518</v>
      </c>
      <c r="D153">
        <v>60</v>
      </c>
      <c r="E153">
        <v>16</v>
      </c>
      <c r="F153">
        <v>21</v>
      </c>
      <c r="G153">
        <v>9800</v>
      </c>
      <c r="H153">
        <v>13</v>
      </c>
      <c r="I153" s="1">
        <v>45078</v>
      </c>
      <c r="J153" s="7">
        <f>Table1[[#This Row],[Required_Qty]]-Table1[[#This Row],[Available_Qty]]</f>
        <v>44</v>
      </c>
      <c r="K153" s="7">
        <v>-44</v>
      </c>
      <c r="L153" s="7">
        <f>IF(Table1[[#This Row],[Required_Qty]]&gt;Table1[[#This Row],[Available_Qty]],Table1[[#This Row],[Required_Qty]]-Table1[[#This Row],[Available_Qty]],0)</f>
        <v>44</v>
      </c>
      <c r="M153" s="7">
        <f>IF(Table1[[#This Row],[Required_Qty]]&lt;Table1[[#This Row],[Available_Qty]],Table1[[#This Row],[Available_Qty]]-Table1[[#This Row],[Required_Qty]],0)</f>
        <v>0</v>
      </c>
      <c r="N153">
        <v>205800</v>
      </c>
      <c r="O153" s="7">
        <f>IF(AND(Table1[[#This Row],[Clean_Shortage]]&gt;0,Table1[[#This Row],[Lead_Time_Days]]&gt;10),1,0)</f>
        <v>1</v>
      </c>
    </row>
    <row r="154" spans="1:15" hidden="1" x14ac:dyDescent="0.3">
      <c r="A154" t="s">
        <v>164</v>
      </c>
      <c r="B154" t="s">
        <v>514</v>
      </c>
      <c r="C154" t="s">
        <v>517</v>
      </c>
      <c r="D154">
        <v>54</v>
      </c>
      <c r="E154">
        <v>19</v>
      </c>
      <c r="F154">
        <v>25</v>
      </c>
      <c r="G154">
        <v>2638</v>
      </c>
      <c r="H154">
        <v>9</v>
      </c>
      <c r="I154" s="1">
        <v>45079</v>
      </c>
      <c r="J154" s="7">
        <f>Table1[[#This Row],[Required_Qty]]-Table1[[#This Row],[Available_Qty]]</f>
        <v>35</v>
      </c>
      <c r="K154" s="7">
        <v>-35</v>
      </c>
      <c r="L154" s="7">
        <f>IF(Table1[[#This Row],[Required_Qty]]&gt;Table1[[#This Row],[Available_Qty]],Table1[[#This Row],[Required_Qty]]-Table1[[#This Row],[Available_Qty]],0)</f>
        <v>35</v>
      </c>
      <c r="M154" s="7">
        <f>IF(Table1[[#This Row],[Required_Qty]]&lt;Table1[[#This Row],[Available_Qty]],Table1[[#This Row],[Available_Qty]]-Table1[[#This Row],[Required_Qty]],0)</f>
        <v>0</v>
      </c>
      <c r="N154">
        <v>65950</v>
      </c>
      <c r="O154" s="7">
        <f>IF(AND(Table1[[#This Row],[Clean_Shortage]]&gt;0,Table1[[#This Row],[Lead_Time_Days]]&gt;10),1,0)</f>
        <v>0</v>
      </c>
    </row>
    <row r="155" spans="1:15" hidden="1" x14ac:dyDescent="0.3">
      <c r="A155" t="s">
        <v>165</v>
      </c>
      <c r="B155" t="s">
        <v>512</v>
      </c>
      <c r="C155" t="s">
        <v>517</v>
      </c>
      <c r="D155">
        <v>53</v>
      </c>
      <c r="E155">
        <v>63</v>
      </c>
      <c r="F155">
        <v>2</v>
      </c>
      <c r="G155">
        <v>6671</v>
      </c>
      <c r="H155">
        <v>4</v>
      </c>
      <c r="I155" s="1">
        <v>45080</v>
      </c>
      <c r="J155" s="7">
        <f>Table1[[#This Row],[Required_Qty]]-Table1[[#This Row],[Available_Qty]]</f>
        <v>-10</v>
      </c>
      <c r="K155" s="7">
        <v>10</v>
      </c>
      <c r="L155" s="7">
        <f>IF(Table1[[#This Row],[Required_Qty]]&gt;Table1[[#This Row],[Available_Qty]],Table1[[#This Row],[Required_Qty]]-Table1[[#This Row],[Available_Qty]],0)</f>
        <v>0</v>
      </c>
      <c r="M155" s="7">
        <f>IF(Table1[[#This Row],[Required_Qty]]&lt;Table1[[#This Row],[Available_Qty]],Table1[[#This Row],[Available_Qty]]-Table1[[#This Row],[Required_Qty]],0)</f>
        <v>10</v>
      </c>
      <c r="N155">
        <v>13342</v>
      </c>
      <c r="O155" s="7">
        <f>IF(AND(Table1[[#This Row],[Clean_Shortage]]&gt;0,Table1[[#This Row],[Lead_Time_Days]]&gt;10),1,0)</f>
        <v>0</v>
      </c>
    </row>
    <row r="156" spans="1:15" hidden="1" x14ac:dyDescent="0.3">
      <c r="A156" t="s">
        <v>166</v>
      </c>
      <c r="B156" t="s">
        <v>514</v>
      </c>
      <c r="C156" t="s">
        <v>517</v>
      </c>
      <c r="D156">
        <v>14</v>
      </c>
      <c r="E156">
        <v>30</v>
      </c>
      <c r="F156">
        <v>40</v>
      </c>
      <c r="G156">
        <v>7928</v>
      </c>
      <c r="H156">
        <v>6</v>
      </c>
      <c r="I156" s="1">
        <v>45081</v>
      </c>
      <c r="J156" s="7">
        <f>Table1[[#This Row],[Required_Qty]]-Table1[[#This Row],[Available_Qty]]</f>
        <v>-16</v>
      </c>
      <c r="K156" s="7">
        <v>16</v>
      </c>
      <c r="L156" s="7">
        <f>IF(Table1[[#This Row],[Required_Qty]]&gt;Table1[[#This Row],[Available_Qty]],Table1[[#This Row],[Required_Qty]]-Table1[[#This Row],[Available_Qty]],0)</f>
        <v>0</v>
      </c>
      <c r="M156" s="7">
        <f>IF(Table1[[#This Row],[Required_Qty]]&lt;Table1[[#This Row],[Available_Qty]],Table1[[#This Row],[Available_Qty]]-Table1[[#This Row],[Required_Qty]],0)</f>
        <v>16</v>
      </c>
      <c r="N156">
        <v>317120</v>
      </c>
      <c r="O156" s="7">
        <f>IF(AND(Table1[[#This Row],[Clean_Shortage]]&gt;0,Table1[[#This Row],[Lead_Time_Days]]&gt;10),1,0)</f>
        <v>0</v>
      </c>
    </row>
    <row r="157" spans="1:15" hidden="1" x14ac:dyDescent="0.3">
      <c r="A157" t="s">
        <v>167</v>
      </c>
      <c r="B157" t="s">
        <v>515</v>
      </c>
      <c r="C157" t="s">
        <v>516</v>
      </c>
      <c r="D157">
        <v>79</v>
      </c>
      <c r="E157">
        <v>109</v>
      </c>
      <c r="F157">
        <v>59</v>
      </c>
      <c r="G157">
        <v>2382</v>
      </c>
      <c r="H157">
        <v>2</v>
      </c>
      <c r="I157" s="1">
        <v>45082</v>
      </c>
      <c r="J157" s="7">
        <f>Table1[[#This Row],[Required_Qty]]-Table1[[#This Row],[Available_Qty]]</f>
        <v>-30</v>
      </c>
      <c r="K157" s="7">
        <v>30</v>
      </c>
      <c r="L157" s="7">
        <f>IF(Table1[[#This Row],[Required_Qty]]&gt;Table1[[#This Row],[Available_Qty]],Table1[[#This Row],[Required_Qty]]-Table1[[#This Row],[Available_Qty]],0)</f>
        <v>0</v>
      </c>
      <c r="M157" s="7">
        <f>IF(Table1[[#This Row],[Required_Qty]]&lt;Table1[[#This Row],[Available_Qty]],Table1[[#This Row],[Available_Qty]]-Table1[[#This Row],[Required_Qty]],0)</f>
        <v>30</v>
      </c>
      <c r="N157">
        <v>140538</v>
      </c>
      <c r="O157" s="7">
        <f>IF(AND(Table1[[#This Row],[Clean_Shortage]]&gt;0,Table1[[#This Row],[Lead_Time_Days]]&gt;10),1,0)</f>
        <v>0</v>
      </c>
    </row>
    <row r="158" spans="1:15" hidden="1" x14ac:dyDescent="0.3">
      <c r="A158" t="s">
        <v>168</v>
      </c>
      <c r="B158" t="s">
        <v>512</v>
      </c>
      <c r="C158" t="s">
        <v>518</v>
      </c>
      <c r="D158">
        <v>35</v>
      </c>
      <c r="E158">
        <v>113</v>
      </c>
      <c r="F158">
        <v>13</v>
      </c>
      <c r="G158">
        <v>2403</v>
      </c>
      <c r="H158">
        <v>6</v>
      </c>
      <c r="I158" s="1">
        <v>45083</v>
      </c>
      <c r="J158" s="7">
        <f>Table1[[#This Row],[Required_Qty]]-Table1[[#This Row],[Available_Qty]]</f>
        <v>-78</v>
      </c>
      <c r="K158" s="7">
        <v>78</v>
      </c>
      <c r="L158" s="7">
        <f>IF(Table1[[#This Row],[Required_Qty]]&gt;Table1[[#This Row],[Available_Qty]],Table1[[#This Row],[Required_Qty]]-Table1[[#This Row],[Available_Qty]],0)</f>
        <v>0</v>
      </c>
      <c r="M158" s="7">
        <f>IF(Table1[[#This Row],[Required_Qty]]&lt;Table1[[#This Row],[Available_Qty]],Table1[[#This Row],[Available_Qty]]-Table1[[#This Row],[Required_Qty]],0)</f>
        <v>78</v>
      </c>
      <c r="N158">
        <v>31239</v>
      </c>
      <c r="O158" s="7">
        <f>IF(AND(Table1[[#This Row],[Clean_Shortage]]&gt;0,Table1[[#This Row],[Lead_Time_Days]]&gt;10),1,0)</f>
        <v>0</v>
      </c>
    </row>
    <row r="159" spans="1:15" hidden="1" x14ac:dyDescent="0.3">
      <c r="A159" t="s">
        <v>169</v>
      </c>
      <c r="B159" t="s">
        <v>515</v>
      </c>
      <c r="C159" t="s">
        <v>517</v>
      </c>
      <c r="D159">
        <v>77</v>
      </c>
      <c r="E159">
        <v>30</v>
      </c>
      <c r="F159">
        <v>74</v>
      </c>
      <c r="G159">
        <v>4292</v>
      </c>
      <c r="H159">
        <v>3</v>
      </c>
      <c r="I159" s="1">
        <v>45084</v>
      </c>
      <c r="J159" s="7">
        <f>Table1[[#This Row],[Required_Qty]]-Table1[[#This Row],[Available_Qty]]</f>
        <v>47</v>
      </c>
      <c r="K159" s="7">
        <v>-47</v>
      </c>
      <c r="L159" s="7">
        <f>IF(Table1[[#This Row],[Required_Qty]]&gt;Table1[[#This Row],[Available_Qty]],Table1[[#This Row],[Required_Qty]]-Table1[[#This Row],[Available_Qty]],0)</f>
        <v>47</v>
      </c>
      <c r="M159" s="7">
        <f>IF(Table1[[#This Row],[Required_Qty]]&lt;Table1[[#This Row],[Available_Qty]],Table1[[#This Row],[Available_Qty]]-Table1[[#This Row],[Required_Qty]],0)</f>
        <v>0</v>
      </c>
      <c r="N159">
        <v>317608</v>
      </c>
      <c r="O159" s="7">
        <f>IF(AND(Table1[[#This Row],[Clean_Shortage]]&gt;0,Table1[[#This Row],[Lead_Time_Days]]&gt;10),1,0)</f>
        <v>0</v>
      </c>
    </row>
    <row r="160" spans="1:15" hidden="1" x14ac:dyDescent="0.3">
      <c r="A160" t="s">
        <v>170</v>
      </c>
      <c r="B160" t="s">
        <v>514</v>
      </c>
      <c r="C160" t="s">
        <v>516</v>
      </c>
      <c r="D160">
        <v>28</v>
      </c>
      <c r="E160">
        <v>51</v>
      </c>
      <c r="F160">
        <v>11</v>
      </c>
      <c r="G160">
        <v>1419</v>
      </c>
      <c r="H160">
        <v>12</v>
      </c>
      <c r="I160" s="1">
        <v>45085</v>
      </c>
      <c r="J160" s="7">
        <f>Table1[[#This Row],[Required_Qty]]-Table1[[#This Row],[Available_Qty]]</f>
        <v>-23</v>
      </c>
      <c r="K160" s="7">
        <v>23</v>
      </c>
      <c r="L160" s="7">
        <f>IF(Table1[[#This Row],[Required_Qty]]&gt;Table1[[#This Row],[Available_Qty]],Table1[[#This Row],[Required_Qty]]-Table1[[#This Row],[Available_Qty]],0)</f>
        <v>0</v>
      </c>
      <c r="M160" s="7">
        <f>IF(Table1[[#This Row],[Required_Qty]]&lt;Table1[[#This Row],[Available_Qty]],Table1[[#This Row],[Available_Qty]]-Table1[[#This Row],[Required_Qty]],0)</f>
        <v>23</v>
      </c>
      <c r="N160">
        <v>15609</v>
      </c>
      <c r="O160" s="7">
        <f>IF(AND(Table1[[#This Row],[Clean_Shortage]]&gt;0,Table1[[#This Row],[Lead_Time_Days]]&gt;10),1,0)</f>
        <v>0</v>
      </c>
    </row>
    <row r="161" spans="1:15" x14ac:dyDescent="0.3">
      <c r="A161" t="s">
        <v>171</v>
      </c>
      <c r="B161" t="s">
        <v>513</v>
      </c>
      <c r="C161" t="s">
        <v>518</v>
      </c>
      <c r="D161">
        <v>93</v>
      </c>
      <c r="E161">
        <v>36</v>
      </c>
      <c r="F161">
        <v>11</v>
      </c>
      <c r="G161">
        <v>5517</v>
      </c>
      <c r="H161">
        <v>12</v>
      </c>
      <c r="I161" s="1">
        <v>45086</v>
      </c>
      <c r="J161" s="7">
        <f>Table1[[#This Row],[Required_Qty]]-Table1[[#This Row],[Available_Qty]]</f>
        <v>57</v>
      </c>
      <c r="K161" s="7">
        <v>-57</v>
      </c>
      <c r="L161" s="7">
        <f>IF(Table1[[#This Row],[Required_Qty]]&gt;Table1[[#This Row],[Available_Qty]],Table1[[#This Row],[Required_Qty]]-Table1[[#This Row],[Available_Qty]],0)</f>
        <v>57</v>
      </c>
      <c r="M161" s="7">
        <f>IF(Table1[[#This Row],[Required_Qty]]&lt;Table1[[#This Row],[Available_Qty]],Table1[[#This Row],[Available_Qty]]-Table1[[#This Row],[Required_Qty]],0)</f>
        <v>0</v>
      </c>
      <c r="N161">
        <v>60687</v>
      </c>
      <c r="O161" s="7">
        <f>IF(AND(Table1[[#This Row],[Clean_Shortage]]&gt;0,Table1[[#This Row],[Lead_Time_Days]]&gt;10),1,0)</f>
        <v>1</v>
      </c>
    </row>
    <row r="162" spans="1:15" hidden="1" x14ac:dyDescent="0.3">
      <c r="A162" t="s">
        <v>172</v>
      </c>
      <c r="B162" t="s">
        <v>512</v>
      </c>
      <c r="C162" t="s">
        <v>516</v>
      </c>
      <c r="D162">
        <v>29</v>
      </c>
      <c r="E162">
        <v>14</v>
      </c>
      <c r="F162">
        <v>12</v>
      </c>
      <c r="G162">
        <v>4302</v>
      </c>
      <c r="H162">
        <v>9</v>
      </c>
      <c r="I162" s="1">
        <v>45087</v>
      </c>
      <c r="J162" s="7">
        <f>Table1[[#This Row],[Required_Qty]]-Table1[[#This Row],[Available_Qty]]</f>
        <v>15</v>
      </c>
      <c r="K162" s="7">
        <v>-15</v>
      </c>
      <c r="L162" s="7">
        <f>IF(Table1[[#This Row],[Required_Qty]]&gt;Table1[[#This Row],[Available_Qty]],Table1[[#This Row],[Required_Qty]]-Table1[[#This Row],[Available_Qty]],0)</f>
        <v>15</v>
      </c>
      <c r="M162" s="7">
        <f>IF(Table1[[#This Row],[Required_Qty]]&lt;Table1[[#This Row],[Available_Qty]],Table1[[#This Row],[Available_Qty]]-Table1[[#This Row],[Required_Qty]],0)</f>
        <v>0</v>
      </c>
      <c r="N162">
        <v>51624</v>
      </c>
      <c r="O162" s="7">
        <f>IF(AND(Table1[[#This Row],[Clean_Shortage]]&gt;0,Table1[[#This Row],[Lead_Time_Days]]&gt;10),1,0)</f>
        <v>0</v>
      </c>
    </row>
    <row r="163" spans="1:15" x14ac:dyDescent="0.3">
      <c r="A163" t="s">
        <v>173</v>
      </c>
      <c r="B163" t="s">
        <v>514</v>
      </c>
      <c r="C163" t="s">
        <v>517</v>
      </c>
      <c r="D163">
        <v>21</v>
      </c>
      <c r="E163">
        <v>20</v>
      </c>
      <c r="F163">
        <v>24</v>
      </c>
      <c r="G163">
        <v>8857</v>
      </c>
      <c r="H163">
        <v>11</v>
      </c>
      <c r="I163" s="1">
        <v>45088</v>
      </c>
      <c r="J163" s="7">
        <f>Table1[[#This Row],[Required_Qty]]-Table1[[#This Row],[Available_Qty]]</f>
        <v>1</v>
      </c>
      <c r="K163" s="7">
        <v>-1</v>
      </c>
      <c r="L163" s="7">
        <f>IF(Table1[[#This Row],[Required_Qty]]&gt;Table1[[#This Row],[Available_Qty]],Table1[[#This Row],[Required_Qty]]-Table1[[#This Row],[Available_Qty]],0)</f>
        <v>1</v>
      </c>
      <c r="M163" s="7">
        <f>IF(Table1[[#This Row],[Required_Qty]]&lt;Table1[[#This Row],[Available_Qty]],Table1[[#This Row],[Available_Qty]]-Table1[[#This Row],[Required_Qty]],0)</f>
        <v>0</v>
      </c>
      <c r="N163">
        <v>212568</v>
      </c>
      <c r="O163" s="7">
        <f>IF(AND(Table1[[#This Row],[Clean_Shortage]]&gt;0,Table1[[#This Row],[Lead_Time_Days]]&gt;10),1,0)</f>
        <v>1</v>
      </c>
    </row>
    <row r="164" spans="1:15" hidden="1" x14ac:dyDescent="0.3">
      <c r="A164" t="s">
        <v>174</v>
      </c>
      <c r="B164" t="s">
        <v>513</v>
      </c>
      <c r="C164" t="s">
        <v>517</v>
      </c>
      <c r="D164">
        <v>56</v>
      </c>
      <c r="E164">
        <v>75</v>
      </c>
      <c r="F164">
        <v>44</v>
      </c>
      <c r="G164">
        <v>8870</v>
      </c>
      <c r="H164">
        <v>2</v>
      </c>
      <c r="I164" s="1">
        <v>45089</v>
      </c>
      <c r="J164" s="7">
        <f>Table1[[#This Row],[Required_Qty]]-Table1[[#This Row],[Available_Qty]]</f>
        <v>-19</v>
      </c>
      <c r="K164" s="7">
        <v>19</v>
      </c>
      <c r="L164" s="7">
        <f>IF(Table1[[#This Row],[Required_Qty]]&gt;Table1[[#This Row],[Available_Qty]],Table1[[#This Row],[Required_Qty]]-Table1[[#This Row],[Available_Qty]],0)</f>
        <v>0</v>
      </c>
      <c r="M164" s="7">
        <f>IF(Table1[[#This Row],[Required_Qty]]&lt;Table1[[#This Row],[Available_Qty]],Table1[[#This Row],[Available_Qty]]-Table1[[#This Row],[Required_Qty]],0)</f>
        <v>19</v>
      </c>
      <c r="N164">
        <v>390280</v>
      </c>
      <c r="O164" s="7">
        <f>IF(AND(Table1[[#This Row],[Clean_Shortage]]&gt;0,Table1[[#This Row],[Lead_Time_Days]]&gt;10),1,0)</f>
        <v>0</v>
      </c>
    </row>
    <row r="165" spans="1:15" hidden="1" x14ac:dyDescent="0.3">
      <c r="A165" t="s">
        <v>175</v>
      </c>
      <c r="B165" t="s">
        <v>513</v>
      </c>
      <c r="C165" t="s">
        <v>517</v>
      </c>
      <c r="D165">
        <v>10</v>
      </c>
      <c r="E165">
        <v>21</v>
      </c>
      <c r="F165">
        <v>18</v>
      </c>
      <c r="G165">
        <v>6693</v>
      </c>
      <c r="H165">
        <v>12</v>
      </c>
      <c r="I165" s="1">
        <v>45090</v>
      </c>
      <c r="J165" s="7">
        <f>Table1[[#This Row],[Required_Qty]]-Table1[[#This Row],[Available_Qty]]</f>
        <v>-11</v>
      </c>
      <c r="K165" s="7">
        <v>11</v>
      </c>
      <c r="L165" s="7">
        <f>IF(Table1[[#This Row],[Required_Qty]]&gt;Table1[[#This Row],[Available_Qty]],Table1[[#This Row],[Required_Qty]]-Table1[[#This Row],[Available_Qty]],0)</f>
        <v>0</v>
      </c>
      <c r="M165" s="7">
        <f>IF(Table1[[#This Row],[Required_Qty]]&lt;Table1[[#This Row],[Available_Qty]],Table1[[#This Row],[Available_Qty]]-Table1[[#This Row],[Required_Qty]],0)</f>
        <v>11</v>
      </c>
      <c r="N165">
        <v>120474</v>
      </c>
      <c r="O165" s="7">
        <f>IF(AND(Table1[[#This Row],[Clean_Shortage]]&gt;0,Table1[[#This Row],[Lead_Time_Days]]&gt;10),1,0)</f>
        <v>0</v>
      </c>
    </row>
    <row r="166" spans="1:15" x14ac:dyDescent="0.3">
      <c r="A166" t="s">
        <v>176</v>
      </c>
      <c r="B166" t="s">
        <v>515</v>
      </c>
      <c r="C166" t="s">
        <v>516</v>
      </c>
      <c r="D166">
        <v>99</v>
      </c>
      <c r="E166">
        <v>27</v>
      </c>
      <c r="F166">
        <v>54</v>
      </c>
      <c r="G166">
        <v>1767</v>
      </c>
      <c r="H166">
        <v>12</v>
      </c>
      <c r="I166" s="1">
        <v>45091</v>
      </c>
      <c r="J166" s="7">
        <f>Table1[[#This Row],[Required_Qty]]-Table1[[#This Row],[Available_Qty]]</f>
        <v>72</v>
      </c>
      <c r="K166" s="7">
        <v>-72</v>
      </c>
      <c r="L166" s="7">
        <f>IF(Table1[[#This Row],[Required_Qty]]&gt;Table1[[#This Row],[Available_Qty]],Table1[[#This Row],[Required_Qty]]-Table1[[#This Row],[Available_Qty]],0)</f>
        <v>72</v>
      </c>
      <c r="M166" s="7">
        <f>IF(Table1[[#This Row],[Required_Qty]]&lt;Table1[[#This Row],[Available_Qty]],Table1[[#This Row],[Available_Qty]]-Table1[[#This Row],[Required_Qty]],0)</f>
        <v>0</v>
      </c>
      <c r="N166">
        <v>95418</v>
      </c>
      <c r="O166" s="7">
        <f>IF(AND(Table1[[#This Row],[Clean_Shortage]]&gt;0,Table1[[#This Row],[Lead_Time_Days]]&gt;10),1,0)</f>
        <v>1</v>
      </c>
    </row>
    <row r="167" spans="1:15" hidden="1" x14ac:dyDescent="0.3">
      <c r="A167" t="s">
        <v>177</v>
      </c>
      <c r="B167" t="s">
        <v>514</v>
      </c>
      <c r="C167" t="s">
        <v>516</v>
      </c>
      <c r="D167">
        <v>23</v>
      </c>
      <c r="E167">
        <v>30</v>
      </c>
      <c r="F167">
        <v>44</v>
      </c>
      <c r="G167">
        <v>3044</v>
      </c>
      <c r="H167">
        <v>9</v>
      </c>
      <c r="I167" s="1">
        <v>45092</v>
      </c>
      <c r="J167" s="7">
        <f>Table1[[#This Row],[Required_Qty]]-Table1[[#This Row],[Available_Qty]]</f>
        <v>-7</v>
      </c>
      <c r="K167" s="7">
        <v>7</v>
      </c>
      <c r="L167" s="7">
        <f>IF(Table1[[#This Row],[Required_Qty]]&gt;Table1[[#This Row],[Available_Qty]],Table1[[#This Row],[Required_Qty]]-Table1[[#This Row],[Available_Qty]],0)</f>
        <v>0</v>
      </c>
      <c r="M167" s="7">
        <f>IF(Table1[[#This Row],[Required_Qty]]&lt;Table1[[#This Row],[Available_Qty]],Table1[[#This Row],[Available_Qty]]-Table1[[#This Row],[Required_Qty]],0)</f>
        <v>7</v>
      </c>
      <c r="N167">
        <v>133936</v>
      </c>
      <c r="O167" s="7">
        <f>IF(AND(Table1[[#This Row],[Clean_Shortage]]&gt;0,Table1[[#This Row],[Lead_Time_Days]]&gt;10),1,0)</f>
        <v>0</v>
      </c>
    </row>
    <row r="168" spans="1:15" hidden="1" x14ac:dyDescent="0.3">
      <c r="A168" t="s">
        <v>178</v>
      </c>
      <c r="B168" t="s">
        <v>513</v>
      </c>
      <c r="C168" t="s">
        <v>517</v>
      </c>
      <c r="D168">
        <v>73</v>
      </c>
      <c r="E168">
        <v>89</v>
      </c>
      <c r="F168">
        <v>7</v>
      </c>
      <c r="G168">
        <v>2549</v>
      </c>
      <c r="H168">
        <v>5</v>
      </c>
      <c r="I168" s="1">
        <v>45093</v>
      </c>
      <c r="J168" s="7">
        <f>Table1[[#This Row],[Required_Qty]]-Table1[[#This Row],[Available_Qty]]</f>
        <v>-16</v>
      </c>
      <c r="K168" s="7">
        <v>16</v>
      </c>
      <c r="L168" s="7">
        <f>IF(Table1[[#This Row],[Required_Qty]]&gt;Table1[[#This Row],[Available_Qty]],Table1[[#This Row],[Required_Qty]]-Table1[[#This Row],[Available_Qty]],0)</f>
        <v>0</v>
      </c>
      <c r="M168" s="7">
        <f>IF(Table1[[#This Row],[Required_Qty]]&lt;Table1[[#This Row],[Available_Qty]],Table1[[#This Row],[Available_Qty]]-Table1[[#This Row],[Required_Qty]],0)</f>
        <v>16</v>
      </c>
      <c r="N168">
        <v>17843</v>
      </c>
      <c r="O168" s="7">
        <f>IF(AND(Table1[[#This Row],[Clean_Shortage]]&gt;0,Table1[[#This Row],[Lead_Time_Days]]&gt;10),1,0)</f>
        <v>0</v>
      </c>
    </row>
    <row r="169" spans="1:15" hidden="1" x14ac:dyDescent="0.3">
      <c r="A169" t="s">
        <v>179</v>
      </c>
      <c r="B169" t="s">
        <v>512</v>
      </c>
      <c r="C169" t="s">
        <v>516</v>
      </c>
      <c r="D169">
        <v>47</v>
      </c>
      <c r="E169">
        <v>90</v>
      </c>
      <c r="F169">
        <v>52</v>
      </c>
      <c r="G169">
        <v>7140</v>
      </c>
      <c r="H169">
        <v>8</v>
      </c>
      <c r="I169" s="1">
        <v>45094</v>
      </c>
      <c r="J169" s="7">
        <f>Table1[[#This Row],[Required_Qty]]-Table1[[#This Row],[Available_Qty]]</f>
        <v>-43</v>
      </c>
      <c r="K169" s="7">
        <v>43</v>
      </c>
      <c r="L169" s="7">
        <f>IF(Table1[[#This Row],[Required_Qty]]&gt;Table1[[#This Row],[Available_Qty]],Table1[[#This Row],[Required_Qty]]-Table1[[#This Row],[Available_Qty]],0)</f>
        <v>0</v>
      </c>
      <c r="M169" s="7">
        <f>IF(Table1[[#This Row],[Required_Qty]]&lt;Table1[[#This Row],[Available_Qty]],Table1[[#This Row],[Available_Qty]]-Table1[[#This Row],[Required_Qty]],0)</f>
        <v>43</v>
      </c>
      <c r="N169">
        <v>371280</v>
      </c>
      <c r="O169" s="7">
        <f>IF(AND(Table1[[#This Row],[Clean_Shortage]]&gt;0,Table1[[#This Row],[Lead_Time_Days]]&gt;10),1,0)</f>
        <v>0</v>
      </c>
    </row>
    <row r="170" spans="1:15" hidden="1" x14ac:dyDescent="0.3">
      <c r="A170" t="s">
        <v>180</v>
      </c>
      <c r="B170" t="s">
        <v>512</v>
      </c>
      <c r="C170" t="s">
        <v>517</v>
      </c>
      <c r="D170">
        <v>46</v>
      </c>
      <c r="E170">
        <v>11</v>
      </c>
      <c r="F170">
        <v>54</v>
      </c>
      <c r="G170">
        <v>4716</v>
      </c>
      <c r="H170">
        <v>2</v>
      </c>
      <c r="I170" s="1">
        <v>45095</v>
      </c>
      <c r="J170" s="7">
        <f>Table1[[#This Row],[Required_Qty]]-Table1[[#This Row],[Available_Qty]]</f>
        <v>35</v>
      </c>
      <c r="K170" s="7">
        <v>-35</v>
      </c>
      <c r="L170" s="7">
        <f>IF(Table1[[#This Row],[Required_Qty]]&gt;Table1[[#This Row],[Available_Qty]],Table1[[#This Row],[Required_Qty]]-Table1[[#This Row],[Available_Qty]],0)</f>
        <v>35</v>
      </c>
      <c r="M170" s="7">
        <f>IF(Table1[[#This Row],[Required_Qty]]&lt;Table1[[#This Row],[Available_Qty]],Table1[[#This Row],[Available_Qty]]-Table1[[#This Row],[Required_Qty]],0)</f>
        <v>0</v>
      </c>
      <c r="N170">
        <v>254664</v>
      </c>
      <c r="O170" s="7">
        <f>IF(AND(Table1[[#This Row],[Clean_Shortage]]&gt;0,Table1[[#This Row],[Lead_Time_Days]]&gt;10),1,0)</f>
        <v>0</v>
      </c>
    </row>
    <row r="171" spans="1:15" hidden="1" x14ac:dyDescent="0.3">
      <c r="A171" t="s">
        <v>181</v>
      </c>
      <c r="B171" t="s">
        <v>515</v>
      </c>
      <c r="C171" t="s">
        <v>517</v>
      </c>
      <c r="D171">
        <v>20</v>
      </c>
      <c r="E171">
        <v>18</v>
      </c>
      <c r="F171">
        <v>31</v>
      </c>
      <c r="G171">
        <v>5481</v>
      </c>
      <c r="H171">
        <v>6</v>
      </c>
      <c r="I171" s="1">
        <v>45096</v>
      </c>
      <c r="J171" s="7">
        <f>Table1[[#This Row],[Required_Qty]]-Table1[[#This Row],[Available_Qty]]</f>
        <v>2</v>
      </c>
      <c r="K171" s="7">
        <v>-2</v>
      </c>
      <c r="L171" s="7">
        <f>IF(Table1[[#This Row],[Required_Qty]]&gt;Table1[[#This Row],[Available_Qty]],Table1[[#This Row],[Required_Qty]]-Table1[[#This Row],[Available_Qty]],0)</f>
        <v>2</v>
      </c>
      <c r="M171" s="7">
        <f>IF(Table1[[#This Row],[Required_Qty]]&lt;Table1[[#This Row],[Available_Qty]],Table1[[#This Row],[Available_Qty]]-Table1[[#This Row],[Required_Qty]],0)</f>
        <v>0</v>
      </c>
      <c r="N171">
        <v>169911</v>
      </c>
      <c r="O171" s="7">
        <f>IF(AND(Table1[[#This Row],[Clean_Shortage]]&gt;0,Table1[[#This Row],[Lead_Time_Days]]&gt;10),1,0)</f>
        <v>0</v>
      </c>
    </row>
    <row r="172" spans="1:15" hidden="1" x14ac:dyDescent="0.3">
      <c r="A172" t="s">
        <v>182</v>
      </c>
      <c r="B172" t="s">
        <v>513</v>
      </c>
      <c r="C172" t="s">
        <v>518</v>
      </c>
      <c r="D172">
        <v>86</v>
      </c>
      <c r="E172">
        <v>83</v>
      </c>
      <c r="F172">
        <v>50</v>
      </c>
      <c r="G172">
        <v>8898</v>
      </c>
      <c r="H172">
        <v>3</v>
      </c>
      <c r="I172" s="1">
        <v>45097</v>
      </c>
      <c r="J172" s="7">
        <f>Table1[[#This Row],[Required_Qty]]-Table1[[#This Row],[Available_Qty]]</f>
        <v>3</v>
      </c>
      <c r="K172" s="7">
        <v>-3</v>
      </c>
      <c r="L172" s="7">
        <f>IF(Table1[[#This Row],[Required_Qty]]&gt;Table1[[#This Row],[Available_Qty]],Table1[[#This Row],[Required_Qty]]-Table1[[#This Row],[Available_Qty]],0)</f>
        <v>3</v>
      </c>
      <c r="M172" s="7">
        <f>IF(Table1[[#This Row],[Required_Qty]]&lt;Table1[[#This Row],[Available_Qty]],Table1[[#This Row],[Available_Qty]]-Table1[[#This Row],[Required_Qty]],0)</f>
        <v>0</v>
      </c>
      <c r="N172">
        <v>444900</v>
      </c>
      <c r="O172" s="7">
        <f>IF(AND(Table1[[#This Row],[Clean_Shortage]]&gt;0,Table1[[#This Row],[Lead_Time_Days]]&gt;10),1,0)</f>
        <v>0</v>
      </c>
    </row>
    <row r="173" spans="1:15" x14ac:dyDescent="0.3">
      <c r="A173" t="s">
        <v>183</v>
      </c>
      <c r="B173" t="s">
        <v>514</v>
      </c>
      <c r="C173" t="s">
        <v>516</v>
      </c>
      <c r="D173">
        <v>12</v>
      </c>
      <c r="E173">
        <v>11</v>
      </c>
      <c r="F173">
        <v>43</v>
      </c>
      <c r="G173">
        <v>7548</v>
      </c>
      <c r="H173">
        <v>12</v>
      </c>
      <c r="I173" s="1">
        <v>45098</v>
      </c>
      <c r="J173" s="7">
        <f>Table1[[#This Row],[Required_Qty]]-Table1[[#This Row],[Available_Qty]]</f>
        <v>1</v>
      </c>
      <c r="K173" s="7">
        <v>-1</v>
      </c>
      <c r="L173" s="7">
        <f>IF(Table1[[#This Row],[Required_Qty]]&gt;Table1[[#This Row],[Available_Qty]],Table1[[#This Row],[Required_Qty]]-Table1[[#This Row],[Available_Qty]],0)</f>
        <v>1</v>
      </c>
      <c r="M173" s="7">
        <f>IF(Table1[[#This Row],[Required_Qty]]&lt;Table1[[#This Row],[Available_Qty]],Table1[[#This Row],[Available_Qty]]-Table1[[#This Row],[Required_Qty]],0)</f>
        <v>0</v>
      </c>
      <c r="N173">
        <v>324564</v>
      </c>
      <c r="O173" s="7">
        <f>IF(AND(Table1[[#This Row],[Clean_Shortage]]&gt;0,Table1[[#This Row],[Lead_Time_Days]]&gt;10),1,0)</f>
        <v>1</v>
      </c>
    </row>
    <row r="174" spans="1:15" x14ac:dyDescent="0.3">
      <c r="A174" t="s">
        <v>184</v>
      </c>
      <c r="B174" t="s">
        <v>512</v>
      </c>
      <c r="C174" t="s">
        <v>517</v>
      </c>
      <c r="D174">
        <v>42</v>
      </c>
      <c r="E174">
        <v>13</v>
      </c>
      <c r="F174">
        <v>69</v>
      </c>
      <c r="G174">
        <v>3293</v>
      </c>
      <c r="H174">
        <v>12</v>
      </c>
      <c r="I174" s="1">
        <v>45099</v>
      </c>
      <c r="J174" s="7">
        <f>Table1[[#This Row],[Required_Qty]]-Table1[[#This Row],[Available_Qty]]</f>
        <v>29</v>
      </c>
      <c r="K174" s="7">
        <v>-29</v>
      </c>
      <c r="L174" s="7">
        <f>IF(Table1[[#This Row],[Required_Qty]]&gt;Table1[[#This Row],[Available_Qty]],Table1[[#This Row],[Required_Qty]]-Table1[[#This Row],[Available_Qty]],0)</f>
        <v>29</v>
      </c>
      <c r="M174" s="7">
        <f>IF(Table1[[#This Row],[Required_Qty]]&lt;Table1[[#This Row],[Available_Qty]],Table1[[#This Row],[Available_Qty]]-Table1[[#This Row],[Required_Qty]],0)</f>
        <v>0</v>
      </c>
      <c r="N174">
        <v>227217</v>
      </c>
      <c r="O174" s="7">
        <f>IF(AND(Table1[[#This Row],[Clean_Shortage]]&gt;0,Table1[[#This Row],[Lead_Time_Days]]&gt;10),1,0)</f>
        <v>1</v>
      </c>
    </row>
    <row r="175" spans="1:15" hidden="1" x14ac:dyDescent="0.3">
      <c r="A175" t="s">
        <v>185</v>
      </c>
      <c r="B175" t="s">
        <v>513</v>
      </c>
      <c r="C175" t="s">
        <v>517</v>
      </c>
      <c r="D175">
        <v>15</v>
      </c>
      <c r="E175">
        <v>119</v>
      </c>
      <c r="F175">
        <v>17</v>
      </c>
      <c r="G175">
        <v>5837</v>
      </c>
      <c r="H175">
        <v>14</v>
      </c>
      <c r="I175" s="1">
        <v>45100</v>
      </c>
      <c r="J175" s="7">
        <f>Table1[[#This Row],[Required_Qty]]-Table1[[#This Row],[Available_Qty]]</f>
        <v>-104</v>
      </c>
      <c r="K175" s="7">
        <v>104</v>
      </c>
      <c r="L175" s="7">
        <f>IF(Table1[[#This Row],[Required_Qty]]&gt;Table1[[#This Row],[Available_Qty]],Table1[[#This Row],[Required_Qty]]-Table1[[#This Row],[Available_Qty]],0)</f>
        <v>0</v>
      </c>
      <c r="M175" s="7">
        <f>IF(Table1[[#This Row],[Required_Qty]]&lt;Table1[[#This Row],[Available_Qty]],Table1[[#This Row],[Available_Qty]]-Table1[[#This Row],[Required_Qty]],0)</f>
        <v>104</v>
      </c>
      <c r="N175">
        <v>99229</v>
      </c>
      <c r="O175" s="7">
        <f>IF(AND(Table1[[#This Row],[Clean_Shortage]]&gt;0,Table1[[#This Row],[Lead_Time_Days]]&gt;10),1,0)</f>
        <v>0</v>
      </c>
    </row>
    <row r="176" spans="1:15" hidden="1" x14ac:dyDescent="0.3">
      <c r="A176" t="s">
        <v>186</v>
      </c>
      <c r="B176" t="s">
        <v>513</v>
      </c>
      <c r="C176" t="s">
        <v>516</v>
      </c>
      <c r="D176">
        <v>59</v>
      </c>
      <c r="E176">
        <v>52</v>
      </c>
      <c r="F176">
        <v>21</v>
      </c>
      <c r="G176">
        <v>8758</v>
      </c>
      <c r="H176">
        <v>10</v>
      </c>
      <c r="I176" s="1">
        <v>45101</v>
      </c>
      <c r="J176" s="7">
        <f>Table1[[#This Row],[Required_Qty]]-Table1[[#This Row],[Available_Qty]]</f>
        <v>7</v>
      </c>
      <c r="K176" s="7">
        <v>-7</v>
      </c>
      <c r="L176" s="7">
        <f>IF(Table1[[#This Row],[Required_Qty]]&gt;Table1[[#This Row],[Available_Qty]],Table1[[#This Row],[Required_Qty]]-Table1[[#This Row],[Available_Qty]],0)</f>
        <v>7</v>
      </c>
      <c r="M176" s="7">
        <f>IF(Table1[[#This Row],[Required_Qty]]&lt;Table1[[#This Row],[Available_Qty]],Table1[[#This Row],[Available_Qty]]-Table1[[#This Row],[Required_Qty]],0)</f>
        <v>0</v>
      </c>
      <c r="N176">
        <v>183918</v>
      </c>
      <c r="O176" s="7">
        <f>IF(AND(Table1[[#This Row],[Clean_Shortage]]&gt;0,Table1[[#This Row],[Lead_Time_Days]]&gt;10),1,0)</f>
        <v>0</v>
      </c>
    </row>
    <row r="177" spans="1:15" hidden="1" x14ac:dyDescent="0.3">
      <c r="A177" t="s">
        <v>187</v>
      </c>
      <c r="B177" t="s">
        <v>515</v>
      </c>
      <c r="C177" t="s">
        <v>518</v>
      </c>
      <c r="D177">
        <v>19</v>
      </c>
      <c r="E177">
        <v>76</v>
      </c>
      <c r="F177">
        <v>36</v>
      </c>
      <c r="G177">
        <v>7793</v>
      </c>
      <c r="H177">
        <v>5</v>
      </c>
      <c r="I177" s="1">
        <v>45102</v>
      </c>
      <c r="J177" s="7">
        <f>Table1[[#This Row],[Required_Qty]]-Table1[[#This Row],[Available_Qty]]</f>
        <v>-57</v>
      </c>
      <c r="K177" s="7">
        <v>57</v>
      </c>
      <c r="L177" s="7">
        <f>IF(Table1[[#This Row],[Required_Qty]]&gt;Table1[[#This Row],[Available_Qty]],Table1[[#This Row],[Required_Qty]]-Table1[[#This Row],[Available_Qty]],0)</f>
        <v>0</v>
      </c>
      <c r="M177" s="7">
        <f>IF(Table1[[#This Row],[Required_Qty]]&lt;Table1[[#This Row],[Available_Qty]],Table1[[#This Row],[Available_Qty]]-Table1[[#This Row],[Required_Qty]],0)</f>
        <v>57</v>
      </c>
      <c r="N177">
        <v>280548</v>
      </c>
      <c r="O177" s="7">
        <f>IF(AND(Table1[[#This Row],[Clean_Shortage]]&gt;0,Table1[[#This Row],[Lead_Time_Days]]&gt;10),1,0)</f>
        <v>0</v>
      </c>
    </row>
    <row r="178" spans="1:15" hidden="1" x14ac:dyDescent="0.3">
      <c r="A178" t="s">
        <v>188</v>
      </c>
      <c r="B178" t="s">
        <v>512</v>
      </c>
      <c r="C178" t="s">
        <v>518</v>
      </c>
      <c r="D178">
        <v>14</v>
      </c>
      <c r="E178">
        <v>118</v>
      </c>
      <c r="F178">
        <v>55</v>
      </c>
      <c r="G178">
        <v>8638</v>
      </c>
      <c r="H178">
        <v>12</v>
      </c>
      <c r="I178" s="1">
        <v>45103</v>
      </c>
      <c r="J178" s="7">
        <f>Table1[[#This Row],[Required_Qty]]-Table1[[#This Row],[Available_Qty]]</f>
        <v>-104</v>
      </c>
      <c r="K178" s="7">
        <v>104</v>
      </c>
      <c r="L178" s="7">
        <f>IF(Table1[[#This Row],[Required_Qty]]&gt;Table1[[#This Row],[Available_Qty]],Table1[[#This Row],[Required_Qty]]-Table1[[#This Row],[Available_Qty]],0)</f>
        <v>0</v>
      </c>
      <c r="M178" s="7">
        <f>IF(Table1[[#This Row],[Required_Qty]]&lt;Table1[[#This Row],[Available_Qty]],Table1[[#This Row],[Available_Qty]]-Table1[[#This Row],[Required_Qty]],0)</f>
        <v>104</v>
      </c>
      <c r="N178">
        <v>475090</v>
      </c>
      <c r="O178" s="7">
        <f>IF(AND(Table1[[#This Row],[Clean_Shortage]]&gt;0,Table1[[#This Row],[Lead_Time_Days]]&gt;10),1,0)</f>
        <v>0</v>
      </c>
    </row>
    <row r="179" spans="1:15" hidden="1" x14ac:dyDescent="0.3">
      <c r="A179" t="s">
        <v>189</v>
      </c>
      <c r="B179" t="s">
        <v>512</v>
      </c>
      <c r="C179" t="s">
        <v>517</v>
      </c>
      <c r="D179">
        <v>32</v>
      </c>
      <c r="E179">
        <v>63</v>
      </c>
      <c r="F179">
        <v>58</v>
      </c>
      <c r="G179">
        <v>8993</v>
      </c>
      <c r="H179">
        <v>8</v>
      </c>
      <c r="I179" s="1">
        <v>45104</v>
      </c>
      <c r="J179" s="7">
        <f>Table1[[#This Row],[Required_Qty]]-Table1[[#This Row],[Available_Qty]]</f>
        <v>-31</v>
      </c>
      <c r="K179" s="7">
        <v>31</v>
      </c>
      <c r="L179" s="7">
        <f>IF(Table1[[#This Row],[Required_Qty]]&gt;Table1[[#This Row],[Available_Qty]],Table1[[#This Row],[Required_Qty]]-Table1[[#This Row],[Available_Qty]],0)</f>
        <v>0</v>
      </c>
      <c r="M179" s="7">
        <f>IF(Table1[[#This Row],[Required_Qty]]&lt;Table1[[#This Row],[Available_Qty]],Table1[[#This Row],[Available_Qty]]-Table1[[#This Row],[Required_Qty]],0)</f>
        <v>31</v>
      </c>
      <c r="N179">
        <v>521594</v>
      </c>
      <c r="O179" s="7">
        <f>IF(AND(Table1[[#This Row],[Clean_Shortage]]&gt;0,Table1[[#This Row],[Lead_Time_Days]]&gt;10),1,0)</f>
        <v>0</v>
      </c>
    </row>
    <row r="180" spans="1:15" hidden="1" x14ac:dyDescent="0.3">
      <c r="A180" t="s">
        <v>190</v>
      </c>
      <c r="B180" t="s">
        <v>514</v>
      </c>
      <c r="C180" t="s">
        <v>516</v>
      </c>
      <c r="D180">
        <v>19</v>
      </c>
      <c r="E180">
        <v>91</v>
      </c>
      <c r="F180">
        <v>2</v>
      </c>
      <c r="G180">
        <v>7007</v>
      </c>
      <c r="H180">
        <v>10</v>
      </c>
      <c r="I180" s="1">
        <v>45105</v>
      </c>
      <c r="J180" s="7">
        <f>Table1[[#This Row],[Required_Qty]]-Table1[[#This Row],[Available_Qty]]</f>
        <v>-72</v>
      </c>
      <c r="K180" s="7">
        <v>72</v>
      </c>
      <c r="L180" s="7">
        <f>IF(Table1[[#This Row],[Required_Qty]]&gt;Table1[[#This Row],[Available_Qty]],Table1[[#This Row],[Required_Qty]]-Table1[[#This Row],[Available_Qty]],0)</f>
        <v>0</v>
      </c>
      <c r="M180" s="7">
        <f>IF(Table1[[#This Row],[Required_Qty]]&lt;Table1[[#This Row],[Available_Qty]],Table1[[#This Row],[Available_Qty]]-Table1[[#This Row],[Required_Qty]],0)</f>
        <v>72</v>
      </c>
      <c r="N180">
        <v>14014</v>
      </c>
      <c r="O180" s="7">
        <f>IF(AND(Table1[[#This Row],[Clean_Shortage]]&gt;0,Table1[[#This Row],[Lead_Time_Days]]&gt;10),1,0)</f>
        <v>0</v>
      </c>
    </row>
    <row r="181" spans="1:15" hidden="1" x14ac:dyDescent="0.3">
      <c r="A181" t="s">
        <v>191</v>
      </c>
      <c r="B181" t="s">
        <v>512</v>
      </c>
      <c r="C181" t="s">
        <v>518</v>
      </c>
      <c r="D181">
        <v>53</v>
      </c>
      <c r="E181">
        <v>97</v>
      </c>
      <c r="F181">
        <v>27</v>
      </c>
      <c r="G181">
        <v>6542</v>
      </c>
      <c r="H181">
        <v>14</v>
      </c>
      <c r="I181" s="1">
        <v>45106</v>
      </c>
      <c r="J181" s="7">
        <f>Table1[[#This Row],[Required_Qty]]-Table1[[#This Row],[Available_Qty]]</f>
        <v>-44</v>
      </c>
      <c r="K181" s="7">
        <v>44</v>
      </c>
      <c r="L181" s="7">
        <f>IF(Table1[[#This Row],[Required_Qty]]&gt;Table1[[#This Row],[Available_Qty]],Table1[[#This Row],[Required_Qty]]-Table1[[#This Row],[Available_Qty]],0)</f>
        <v>0</v>
      </c>
      <c r="M181" s="7">
        <f>IF(Table1[[#This Row],[Required_Qty]]&lt;Table1[[#This Row],[Available_Qty]],Table1[[#This Row],[Available_Qty]]-Table1[[#This Row],[Required_Qty]],0)</f>
        <v>44</v>
      </c>
      <c r="N181">
        <v>176634</v>
      </c>
      <c r="O181" s="7">
        <f>IF(AND(Table1[[#This Row],[Clean_Shortage]]&gt;0,Table1[[#This Row],[Lead_Time_Days]]&gt;10),1,0)</f>
        <v>0</v>
      </c>
    </row>
    <row r="182" spans="1:15" hidden="1" x14ac:dyDescent="0.3">
      <c r="A182" t="s">
        <v>192</v>
      </c>
      <c r="B182" t="s">
        <v>514</v>
      </c>
      <c r="C182" t="s">
        <v>516</v>
      </c>
      <c r="D182">
        <v>11</v>
      </c>
      <c r="E182">
        <v>86</v>
      </c>
      <c r="F182">
        <v>73</v>
      </c>
      <c r="G182">
        <v>7356</v>
      </c>
      <c r="H182">
        <v>1</v>
      </c>
      <c r="I182" s="1">
        <v>45107</v>
      </c>
      <c r="J182" s="7">
        <f>Table1[[#This Row],[Required_Qty]]-Table1[[#This Row],[Available_Qty]]</f>
        <v>-75</v>
      </c>
      <c r="K182" s="7">
        <v>75</v>
      </c>
      <c r="L182" s="7">
        <f>IF(Table1[[#This Row],[Required_Qty]]&gt;Table1[[#This Row],[Available_Qty]],Table1[[#This Row],[Required_Qty]]-Table1[[#This Row],[Available_Qty]],0)</f>
        <v>0</v>
      </c>
      <c r="M182" s="7">
        <f>IF(Table1[[#This Row],[Required_Qty]]&lt;Table1[[#This Row],[Available_Qty]],Table1[[#This Row],[Available_Qty]]-Table1[[#This Row],[Required_Qty]],0)</f>
        <v>75</v>
      </c>
      <c r="N182">
        <v>536988</v>
      </c>
      <c r="O182" s="7">
        <f>IF(AND(Table1[[#This Row],[Clean_Shortage]]&gt;0,Table1[[#This Row],[Lead_Time_Days]]&gt;10),1,0)</f>
        <v>0</v>
      </c>
    </row>
    <row r="183" spans="1:15" hidden="1" x14ac:dyDescent="0.3">
      <c r="A183" t="s">
        <v>193</v>
      </c>
      <c r="B183" t="s">
        <v>512</v>
      </c>
      <c r="C183" t="s">
        <v>516</v>
      </c>
      <c r="D183">
        <v>22</v>
      </c>
      <c r="E183">
        <v>99</v>
      </c>
      <c r="F183">
        <v>34</v>
      </c>
      <c r="G183">
        <v>9433</v>
      </c>
      <c r="H183">
        <v>5</v>
      </c>
      <c r="I183" s="1">
        <v>45108</v>
      </c>
      <c r="J183" s="7">
        <f>Table1[[#This Row],[Required_Qty]]-Table1[[#This Row],[Available_Qty]]</f>
        <v>-77</v>
      </c>
      <c r="K183" s="7">
        <v>77</v>
      </c>
      <c r="L183" s="7">
        <f>IF(Table1[[#This Row],[Required_Qty]]&gt;Table1[[#This Row],[Available_Qty]],Table1[[#This Row],[Required_Qty]]-Table1[[#This Row],[Available_Qty]],0)</f>
        <v>0</v>
      </c>
      <c r="M183" s="7">
        <f>IF(Table1[[#This Row],[Required_Qty]]&lt;Table1[[#This Row],[Available_Qty]],Table1[[#This Row],[Available_Qty]]-Table1[[#This Row],[Required_Qty]],0)</f>
        <v>77</v>
      </c>
      <c r="N183">
        <v>320722</v>
      </c>
      <c r="O183" s="7">
        <f>IF(AND(Table1[[#This Row],[Clean_Shortage]]&gt;0,Table1[[#This Row],[Lead_Time_Days]]&gt;10),1,0)</f>
        <v>0</v>
      </c>
    </row>
    <row r="184" spans="1:15" hidden="1" x14ac:dyDescent="0.3">
      <c r="A184" t="s">
        <v>194</v>
      </c>
      <c r="B184" t="s">
        <v>515</v>
      </c>
      <c r="C184" t="s">
        <v>517</v>
      </c>
      <c r="D184">
        <v>49</v>
      </c>
      <c r="E184">
        <v>98</v>
      </c>
      <c r="F184">
        <v>60</v>
      </c>
      <c r="G184">
        <v>8380</v>
      </c>
      <c r="H184">
        <v>3</v>
      </c>
      <c r="I184" s="1">
        <v>45109</v>
      </c>
      <c r="J184" s="7">
        <f>Table1[[#This Row],[Required_Qty]]-Table1[[#This Row],[Available_Qty]]</f>
        <v>-49</v>
      </c>
      <c r="K184" s="7">
        <v>49</v>
      </c>
      <c r="L184" s="7">
        <f>IF(Table1[[#This Row],[Required_Qty]]&gt;Table1[[#This Row],[Available_Qty]],Table1[[#This Row],[Required_Qty]]-Table1[[#This Row],[Available_Qty]],0)</f>
        <v>0</v>
      </c>
      <c r="M184" s="7">
        <f>IF(Table1[[#This Row],[Required_Qty]]&lt;Table1[[#This Row],[Available_Qty]],Table1[[#This Row],[Available_Qty]]-Table1[[#This Row],[Required_Qty]],0)</f>
        <v>49</v>
      </c>
      <c r="N184">
        <v>502800</v>
      </c>
      <c r="O184" s="7">
        <f>IF(AND(Table1[[#This Row],[Clean_Shortage]]&gt;0,Table1[[#This Row],[Lead_Time_Days]]&gt;10),1,0)</f>
        <v>0</v>
      </c>
    </row>
    <row r="185" spans="1:15" hidden="1" x14ac:dyDescent="0.3">
      <c r="A185" t="s">
        <v>195</v>
      </c>
      <c r="B185" t="s">
        <v>512</v>
      </c>
      <c r="C185" t="s">
        <v>518</v>
      </c>
      <c r="D185">
        <v>11</v>
      </c>
      <c r="E185">
        <v>43</v>
      </c>
      <c r="F185">
        <v>53</v>
      </c>
      <c r="G185">
        <v>3385</v>
      </c>
      <c r="H185">
        <v>4</v>
      </c>
      <c r="I185" s="1">
        <v>45110</v>
      </c>
      <c r="J185" s="7">
        <f>Table1[[#This Row],[Required_Qty]]-Table1[[#This Row],[Available_Qty]]</f>
        <v>-32</v>
      </c>
      <c r="K185" s="7">
        <v>32</v>
      </c>
      <c r="L185" s="7">
        <f>IF(Table1[[#This Row],[Required_Qty]]&gt;Table1[[#This Row],[Available_Qty]],Table1[[#This Row],[Required_Qty]]-Table1[[#This Row],[Available_Qty]],0)</f>
        <v>0</v>
      </c>
      <c r="M185" s="7">
        <f>IF(Table1[[#This Row],[Required_Qty]]&lt;Table1[[#This Row],[Available_Qty]],Table1[[#This Row],[Available_Qty]]-Table1[[#This Row],[Required_Qty]],0)</f>
        <v>32</v>
      </c>
      <c r="N185">
        <v>179405</v>
      </c>
      <c r="O185" s="7">
        <f>IF(AND(Table1[[#This Row],[Clean_Shortage]]&gt;0,Table1[[#This Row],[Lead_Time_Days]]&gt;10),1,0)</f>
        <v>0</v>
      </c>
    </row>
    <row r="186" spans="1:15" hidden="1" x14ac:dyDescent="0.3">
      <c r="A186" t="s">
        <v>196</v>
      </c>
      <c r="B186" t="s">
        <v>514</v>
      </c>
      <c r="C186" t="s">
        <v>517</v>
      </c>
      <c r="D186">
        <v>93</v>
      </c>
      <c r="E186">
        <v>103</v>
      </c>
      <c r="F186">
        <v>62</v>
      </c>
      <c r="G186">
        <v>5268</v>
      </c>
      <c r="H186">
        <v>2</v>
      </c>
      <c r="I186" s="1">
        <v>45111</v>
      </c>
      <c r="J186" s="7">
        <f>Table1[[#This Row],[Required_Qty]]-Table1[[#This Row],[Available_Qty]]</f>
        <v>-10</v>
      </c>
      <c r="K186" s="7">
        <v>10</v>
      </c>
      <c r="L186" s="7">
        <f>IF(Table1[[#This Row],[Required_Qty]]&gt;Table1[[#This Row],[Available_Qty]],Table1[[#This Row],[Required_Qty]]-Table1[[#This Row],[Available_Qty]],0)</f>
        <v>0</v>
      </c>
      <c r="M186" s="7">
        <f>IF(Table1[[#This Row],[Required_Qty]]&lt;Table1[[#This Row],[Available_Qty]],Table1[[#This Row],[Available_Qty]]-Table1[[#This Row],[Required_Qty]],0)</f>
        <v>10</v>
      </c>
      <c r="N186">
        <v>326616</v>
      </c>
      <c r="O186" s="7">
        <f>IF(AND(Table1[[#This Row],[Clean_Shortage]]&gt;0,Table1[[#This Row],[Lead_Time_Days]]&gt;10),1,0)</f>
        <v>0</v>
      </c>
    </row>
    <row r="187" spans="1:15" hidden="1" x14ac:dyDescent="0.3">
      <c r="A187" t="s">
        <v>197</v>
      </c>
      <c r="B187" t="s">
        <v>514</v>
      </c>
      <c r="C187" t="s">
        <v>518</v>
      </c>
      <c r="D187">
        <v>74</v>
      </c>
      <c r="E187">
        <v>22</v>
      </c>
      <c r="F187">
        <v>78</v>
      </c>
      <c r="G187">
        <v>1671</v>
      </c>
      <c r="H187">
        <v>9</v>
      </c>
      <c r="I187" s="1">
        <v>45112</v>
      </c>
      <c r="J187" s="7">
        <f>Table1[[#This Row],[Required_Qty]]-Table1[[#This Row],[Available_Qty]]</f>
        <v>52</v>
      </c>
      <c r="K187" s="7">
        <v>-52</v>
      </c>
      <c r="L187" s="7">
        <f>IF(Table1[[#This Row],[Required_Qty]]&gt;Table1[[#This Row],[Available_Qty]],Table1[[#This Row],[Required_Qty]]-Table1[[#This Row],[Available_Qty]],0)</f>
        <v>52</v>
      </c>
      <c r="M187" s="7">
        <f>IF(Table1[[#This Row],[Required_Qty]]&lt;Table1[[#This Row],[Available_Qty]],Table1[[#This Row],[Available_Qty]]-Table1[[#This Row],[Required_Qty]],0)</f>
        <v>0</v>
      </c>
      <c r="N187">
        <v>130338</v>
      </c>
      <c r="O187" s="7">
        <f>IF(AND(Table1[[#This Row],[Clean_Shortage]]&gt;0,Table1[[#This Row],[Lead_Time_Days]]&gt;10),1,0)</f>
        <v>0</v>
      </c>
    </row>
    <row r="188" spans="1:15" hidden="1" x14ac:dyDescent="0.3">
      <c r="A188" t="s">
        <v>198</v>
      </c>
      <c r="B188" t="s">
        <v>515</v>
      </c>
      <c r="C188" t="s">
        <v>518</v>
      </c>
      <c r="D188">
        <v>72</v>
      </c>
      <c r="E188">
        <v>63</v>
      </c>
      <c r="F188">
        <v>6</v>
      </c>
      <c r="G188">
        <v>1163</v>
      </c>
      <c r="H188">
        <v>3</v>
      </c>
      <c r="I188" s="1">
        <v>45113</v>
      </c>
      <c r="J188" s="7">
        <f>Table1[[#This Row],[Required_Qty]]-Table1[[#This Row],[Available_Qty]]</f>
        <v>9</v>
      </c>
      <c r="K188" s="7">
        <v>-9</v>
      </c>
      <c r="L188" s="7">
        <f>IF(Table1[[#This Row],[Required_Qty]]&gt;Table1[[#This Row],[Available_Qty]],Table1[[#This Row],[Required_Qty]]-Table1[[#This Row],[Available_Qty]],0)</f>
        <v>9</v>
      </c>
      <c r="M188" s="7">
        <f>IF(Table1[[#This Row],[Required_Qty]]&lt;Table1[[#This Row],[Available_Qty]],Table1[[#This Row],[Available_Qty]]-Table1[[#This Row],[Required_Qty]],0)</f>
        <v>0</v>
      </c>
      <c r="N188">
        <v>6978</v>
      </c>
      <c r="O188" s="7">
        <f>IF(AND(Table1[[#This Row],[Clean_Shortage]]&gt;0,Table1[[#This Row],[Lead_Time_Days]]&gt;10),1,0)</f>
        <v>0</v>
      </c>
    </row>
    <row r="189" spans="1:15" hidden="1" x14ac:dyDescent="0.3">
      <c r="A189" t="s">
        <v>199</v>
      </c>
      <c r="B189" t="s">
        <v>512</v>
      </c>
      <c r="C189" t="s">
        <v>518</v>
      </c>
      <c r="D189">
        <v>82</v>
      </c>
      <c r="E189">
        <v>110</v>
      </c>
      <c r="F189">
        <v>75</v>
      </c>
      <c r="G189">
        <v>9656</v>
      </c>
      <c r="H189">
        <v>2</v>
      </c>
      <c r="I189" s="1">
        <v>45114</v>
      </c>
      <c r="J189" s="7">
        <f>Table1[[#This Row],[Required_Qty]]-Table1[[#This Row],[Available_Qty]]</f>
        <v>-28</v>
      </c>
      <c r="K189" s="7">
        <v>28</v>
      </c>
      <c r="L189" s="7">
        <f>IF(Table1[[#This Row],[Required_Qty]]&gt;Table1[[#This Row],[Available_Qty]],Table1[[#This Row],[Required_Qty]]-Table1[[#This Row],[Available_Qty]],0)</f>
        <v>0</v>
      </c>
      <c r="M189" s="7">
        <f>IF(Table1[[#This Row],[Required_Qty]]&lt;Table1[[#This Row],[Available_Qty]],Table1[[#This Row],[Available_Qty]]-Table1[[#This Row],[Required_Qty]],0)</f>
        <v>28</v>
      </c>
      <c r="N189">
        <v>724200</v>
      </c>
      <c r="O189" s="7">
        <f>IF(AND(Table1[[#This Row],[Clean_Shortage]]&gt;0,Table1[[#This Row],[Lead_Time_Days]]&gt;10),1,0)</f>
        <v>0</v>
      </c>
    </row>
    <row r="190" spans="1:15" hidden="1" x14ac:dyDescent="0.3">
      <c r="A190" t="s">
        <v>200</v>
      </c>
      <c r="B190" t="s">
        <v>512</v>
      </c>
      <c r="C190" t="s">
        <v>518</v>
      </c>
      <c r="D190">
        <v>26</v>
      </c>
      <c r="E190">
        <v>107</v>
      </c>
      <c r="F190">
        <v>48</v>
      </c>
      <c r="G190">
        <v>5592</v>
      </c>
      <c r="H190">
        <v>10</v>
      </c>
      <c r="I190" s="1">
        <v>45115</v>
      </c>
      <c r="J190" s="7">
        <f>Table1[[#This Row],[Required_Qty]]-Table1[[#This Row],[Available_Qty]]</f>
        <v>-81</v>
      </c>
      <c r="K190" s="7">
        <v>81</v>
      </c>
      <c r="L190" s="7">
        <f>IF(Table1[[#This Row],[Required_Qty]]&gt;Table1[[#This Row],[Available_Qty]],Table1[[#This Row],[Required_Qty]]-Table1[[#This Row],[Available_Qty]],0)</f>
        <v>0</v>
      </c>
      <c r="M190" s="7">
        <f>IF(Table1[[#This Row],[Required_Qty]]&lt;Table1[[#This Row],[Available_Qty]],Table1[[#This Row],[Available_Qty]]-Table1[[#This Row],[Required_Qty]],0)</f>
        <v>81</v>
      </c>
      <c r="N190">
        <v>268416</v>
      </c>
      <c r="O190" s="7">
        <f>IF(AND(Table1[[#This Row],[Clean_Shortage]]&gt;0,Table1[[#This Row],[Lead_Time_Days]]&gt;10),1,0)</f>
        <v>0</v>
      </c>
    </row>
    <row r="191" spans="1:15" hidden="1" x14ac:dyDescent="0.3">
      <c r="A191" t="s">
        <v>201</v>
      </c>
      <c r="B191" t="s">
        <v>515</v>
      </c>
      <c r="C191" t="s">
        <v>518</v>
      </c>
      <c r="D191">
        <v>18</v>
      </c>
      <c r="E191">
        <v>21</v>
      </c>
      <c r="F191">
        <v>30</v>
      </c>
      <c r="G191">
        <v>5795</v>
      </c>
      <c r="H191">
        <v>11</v>
      </c>
      <c r="I191" s="1">
        <v>45116</v>
      </c>
      <c r="J191" s="7">
        <f>Table1[[#This Row],[Required_Qty]]-Table1[[#This Row],[Available_Qty]]</f>
        <v>-3</v>
      </c>
      <c r="K191" s="7">
        <v>3</v>
      </c>
      <c r="L191" s="7">
        <f>IF(Table1[[#This Row],[Required_Qty]]&gt;Table1[[#This Row],[Available_Qty]],Table1[[#This Row],[Required_Qty]]-Table1[[#This Row],[Available_Qty]],0)</f>
        <v>0</v>
      </c>
      <c r="M191" s="7">
        <f>IF(Table1[[#This Row],[Required_Qty]]&lt;Table1[[#This Row],[Available_Qty]],Table1[[#This Row],[Available_Qty]]-Table1[[#This Row],[Required_Qty]],0)</f>
        <v>3</v>
      </c>
      <c r="N191">
        <v>173850</v>
      </c>
      <c r="O191" s="7">
        <f>IF(AND(Table1[[#This Row],[Clean_Shortage]]&gt;0,Table1[[#This Row],[Lead_Time_Days]]&gt;10),1,0)</f>
        <v>0</v>
      </c>
    </row>
    <row r="192" spans="1:15" hidden="1" x14ac:dyDescent="0.3">
      <c r="A192" t="s">
        <v>202</v>
      </c>
      <c r="B192" t="s">
        <v>512</v>
      </c>
      <c r="C192" t="s">
        <v>516</v>
      </c>
      <c r="D192">
        <v>84</v>
      </c>
      <c r="E192">
        <v>18</v>
      </c>
      <c r="F192">
        <v>57</v>
      </c>
      <c r="G192">
        <v>5798</v>
      </c>
      <c r="H192">
        <v>9</v>
      </c>
      <c r="I192" s="1">
        <v>45117</v>
      </c>
      <c r="J192" s="7">
        <f>Table1[[#This Row],[Required_Qty]]-Table1[[#This Row],[Available_Qty]]</f>
        <v>66</v>
      </c>
      <c r="K192" s="7">
        <v>-66</v>
      </c>
      <c r="L192" s="7">
        <f>IF(Table1[[#This Row],[Required_Qty]]&gt;Table1[[#This Row],[Available_Qty]],Table1[[#This Row],[Required_Qty]]-Table1[[#This Row],[Available_Qty]],0)</f>
        <v>66</v>
      </c>
      <c r="M192" s="7">
        <f>IF(Table1[[#This Row],[Required_Qty]]&lt;Table1[[#This Row],[Available_Qty]],Table1[[#This Row],[Available_Qty]]-Table1[[#This Row],[Required_Qty]],0)</f>
        <v>0</v>
      </c>
      <c r="N192">
        <v>330486</v>
      </c>
      <c r="O192" s="7">
        <f>IF(AND(Table1[[#This Row],[Clean_Shortage]]&gt;0,Table1[[#This Row],[Lead_Time_Days]]&gt;10),1,0)</f>
        <v>0</v>
      </c>
    </row>
    <row r="193" spans="1:15" hidden="1" x14ac:dyDescent="0.3">
      <c r="A193" t="s">
        <v>203</v>
      </c>
      <c r="B193" t="s">
        <v>512</v>
      </c>
      <c r="C193" t="s">
        <v>517</v>
      </c>
      <c r="D193">
        <v>24</v>
      </c>
      <c r="E193">
        <v>35</v>
      </c>
      <c r="F193">
        <v>60</v>
      </c>
      <c r="G193">
        <v>7036</v>
      </c>
      <c r="H193">
        <v>7</v>
      </c>
      <c r="I193" s="1">
        <v>45118</v>
      </c>
      <c r="J193" s="7">
        <f>Table1[[#This Row],[Required_Qty]]-Table1[[#This Row],[Available_Qty]]</f>
        <v>-11</v>
      </c>
      <c r="K193" s="7">
        <v>11</v>
      </c>
      <c r="L193" s="7">
        <f>IF(Table1[[#This Row],[Required_Qty]]&gt;Table1[[#This Row],[Available_Qty]],Table1[[#This Row],[Required_Qty]]-Table1[[#This Row],[Available_Qty]],0)</f>
        <v>0</v>
      </c>
      <c r="M193" s="7">
        <f>IF(Table1[[#This Row],[Required_Qty]]&lt;Table1[[#This Row],[Available_Qty]],Table1[[#This Row],[Available_Qty]]-Table1[[#This Row],[Required_Qty]],0)</f>
        <v>11</v>
      </c>
      <c r="N193">
        <v>422160</v>
      </c>
      <c r="O193" s="7">
        <f>IF(AND(Table1[[#This Row],[Clean_Shortage]]&gt;0,Table1[[#This Row],[Lead_Time_Days]]&gt;10),1,0)</f>
        <v>0</v>
      </c>
    </row>
    <row r="194" spans="1:15" hidden="1" x14ac:dyDescent="0.3">
      <c r="A194" t="s">
        <v>204</v>
      </c>
      <c r="B194" t="s">
        <v>514</v>
      </c>
      <c r="C194" t="s">
        <v>516</v>
      </c>
      <c r="D194">
        <v>33</v>
      </c>
      <c r="E194">
        <v>28</v>
      </c>
      <c r="F194">
        <v>23</v>
      </c>
      <c r="G194">
        <v>3355</v>
      </c>
      <c r="H194">
        <v>6</v>
      </c>
      <c r="I194" s="1">
        <v>45119</v>
      </c>
      <c r="J194" s="7">
        <f>Table1[[#This Row],[Required_Qty]]-Table1[[#This Row],[Available_Qty]]</f>
        <v>5</v>
      </c>
      <c r="K194" s="7">
        <v>-5</v>
      </c>
      <c r="L194" s="7">
        <f>IF(Table1[[#This Row],[Required_Qty]]&gt;Table1[[#This Row],[Available_Qty]],Table1[[#This Row],[Required_Qty]]-Table1[[#This Row],[Available_Qty]],0)</f>
        <v>5</v>
      </c>
      <c r="M194" s="7">
        <f>IF(Table1[[#This Row],[Required_Qty]]&lt;Table1[[#This Row],[Available_Qty]],Table1[[#This Row],[Available_Qty]]-Table1[[#This Row],[Required_Qty]],0)</f>
        <v>0</v>
      </c>
      <c r="N194">
        <v>77165</v>
      </c>
      <c r="O194" s="7">
        <f>IF(AND(Table1[[#This Row],[Clean_Shortage]]&gt;0,Table1[[#This Row],[Lead_Time_Days]]&gt;10),1,0)</f>
        <v>0</v>
      </c>
    </row>
    <row r="195" spans="1:15" hidden="1" x14ac:dyDescent="0.3">
      <c r="A195" t="s">
        <v>205</v>
      </c>
      <c r="B195" t="s">
        <v>512</v>
      </c>
      <c r="C195" t="s">
        <v>518</v>
      </c>
      <c r="D195">
        <v>47</v>
      </c>
      <c r="E195">
        <v>103</v>
      </c>
      <c r="F195">
        <v>19</v>
      </c>
      <c r="G195">
        <v>6887</v>
      </c>
      <c r="H195">
        <v>1</v>
      </c>
      <c r="I195" s="1">
        <v>45120</v>
      </c>
      <c r="J195" s="7">
        <f>Table1[[#This Row],[Required_Qty]]-Table1[[#This Row],[Available_Qty]]</f>
        <v>-56</v>
      </c>
      <c r="K195" s="7">
        <v>56</v>
      </c>
      <c r="L195" s="7">
        <f>IF(Table1[[#This Row],[Required_Qty]]&gt;Table1[[#This Row],[Available_Qty]],Table1[[#This Row],[Required_Qty]]-Table1[[#This Row],[Available_Qty]],0)</f>
        <v>0</v>
      </c>
      <c r="M195" s="7">
        <f>IF(Table1[[#This Row],[Required_Qty]]&lt;Table1[[#This Row],[Available_Qty]],Table1[[#This Row],[Available_Qty]]-Table1[[#This Row],[Required_Qty]],0)</f>
        <v>56</v>
      </c>
      <c r="N195">
        <v>130853</v>
      </c>
      <c r="O195" s="7">
        <f>IF(AND(Table1[[#This Row],[Clean_Shortage]]&gt;0,Table1[[#This Row],[Lead_Time_Days]]&gt;10),1,0)</f>
        <v>0</v>
      </c>
    </row>
    <row r="196" spans="1:15" hidden="1" x14ac:dyDescent="0.3">
      <c r="A196" t="s">
        <v>206</v>
      </c>
      <c r="B196" t="s">
        <v>512</v>
      </c>
      <c r="C196" t="s">
        <v>517</v>
      </c>
      <c r="D196">
        <v>44</v>
      </c>
      <c r="E196">
        <v>112</v>
      </c>
      <c r="F196">
        <v>36</v>
      </c>
      <c r="G196">
        <v>8961</v>
      </c>
      <c r="H196">
        <v>5</v>
      </c>
      <c r="I196" s="1">
        <v>45121</v>
      </c>
      <c r="J196" s="7">
        <f>Table1[[#This Row],[Required_Qty]]-Table1[[#This Row],[Available_Qty]]</f>
        <v>-68</v>
      </c>
      <c r="K196" s="7">
        <v>68</v>
      </c>
      <c r="L196" s="7">
        <f>IF(Table1[[#This Row],[Required_Qty]]&gt;Table1[[#This Row],[Available_Qty]],Table1[[#This Row],[Required_Qty]]-Table1[[#This Row],[Available_Qty]],0)</f>
        <v>0</v>
      </c>
      <c r="M196" s="7">
        <f>IF(Table1[[#This Row],[Required_Qty]]&lt;Table1[[#This Row],[Available_Qty]],Table1[[#This Row],[Available_Qty]]-Table1[[#This Row],[Required_Qty]],0)</f>
        <v>68</v>
      </c>
      <c r="N196">
        <v>322596</v>
      </c>
      <c r="O196" s="7">
        <f>IF(AND(Table1[[#This Row],[Clean_Shortage]]&gt;0,Table1[[#This Row],[Lead_Time_Days]]&gt;10),1,0)</f>
        <v>0</v>
      </c>
    </row>
    <row r="197" spans="1:15" hidden="1" x14ac:dyDescent="0.3">
      <c r="A197" t="s">
        <v>207</v>
      </c>
      <c r="B197" t="s">
        <v>515</v>
      </c>
      <c r="C197" t="s">
        <v>518</v>
      </c>
      <c r="D197">
        <v>58</v>
      </c>
      <c r="E197">
        <v>64</v>
      </c>
      <c r="F197">
        <v>3</v>
      </c>
      <c r="G197">
        <v>6827</v>
      </c>
      <c r="H197">
        <v>12</v>
      </c>
      <c r="I197" s="1">
        <v>45122</v>
      </c>
      <c r="J197" s="7">
        <f>Table1[[#This Row],[Required_Qty]]-Table1[[#This Row],[Available_Qty]]</f>
        <v>-6</v>
      </c>
      <c r="K197" s="7">
        <v>6</v>
      </c>
      <c r="L197" s="7">
        <f>IF(Table1[[#This Row],[Required_Qty]]&gt;Table1[[#This Row],[Available_Qty]],Table1[[#This Row],[Required_Qty]]-Table1[[#This Row],[Available_Qty]],0)</f>
        <v>0</v>
      </c>
      <c r="M197" s="7">
        <f>IF(Table1[[#This Row],[Required_Qty]]&lt;Table1[[#This Row],[Available_Qty]],Table1[[#This Row],[Available_Qty]]-Table1[[#This Row],[Required_Qty]],0)</f>
        <v>6</v>
      </c>
      <c r="N197">
        <v>20481</v>
      </c>
      <c r="O197" s="7">
        <f>IF(AND(Table1[[#This Row],[Clean_Shortage]]&gt;0,Table1[[#This Row],[Lead_Time_Days]]&gt;10),1,0)</f>
        <v>0</v>
      </c>
    </row>
    <row r="198" spans="1:15" x14ac:dyDescent="0.3">
      <c r="A198" t="s">
        <v>208</v>
      </c>
      <c r="B198" t="s">
        <v>515</v>
      </c>
      <c r="C198" t="s">
        <v>517</v>
      </c>
      <c r="D198">
        <v>78</v>
      </c>
      <c r="E198">
        <v>49</v>
      </c>
      <c r="F198">
        <v>19</v>
      </c>
      <c r="G198">
        <v>9737</v>
      </c>
      <c r="H198">
        <v>11</v>
      </c>
      <c r="I198" s="1">
        <v>45123</v>
      </c>
      <c r="J198" s="7">
        <f>Table1[[#This Row],[Required_Qty]]-Table1[[#This Row],[Available_Qty]]</f>
        <v>29</v>
      </c>
      <c r="K198" s="7">
        <v>-29</v>
      </c>
      <c r="L198" s="7">
        <f>IF(Table1[[#This Row],[Required_Qty]]&gt;Table1[[#This Row],[Available_Qty]],Table1[[#This Row],[Required_Qty]]-Table1[[#This Row],[Available_Qty]],0)</f>
        <v>29</v>
      </c>
      <c r="M198" s="7">
        <f>IF(Table1[[#This Row],[Required_Qty]]&lt;Table1[[#This Row],[Available_Qty]],Table1[[#This Row],[Available_Qty]]-Table1[[#This Row],[Required_Qty]],0)</f>
        <v>0</v>
      </c>
      <c r="N198">
        <v>185003</v>
      </c>
      <c r="O198" s="7">
        <f>IF(AND(Table1[[#This Row],[Clean_Shortage]]&gt;0,Table1[[#This Row],[Lead_Time_Days]]&gt;10),1,0)</f>
        <v>1</v>
      </c>
    </row>
    <row r="199" spans="1:15" hidden="1" x14ac:dyDescent="0.3">
      <c r="A199" t="s">
        <v>209</v>
      </c>
      <c r="B199" t="s">
        <v>513</v>
      </c>
      <c r="C199" t="s">
        <v>516</v>
      </c>
      <c r="D199">
        <v>71</v>
      </c>
      <c r="E199">
        <v>102</v>
      </c>
      <c r="F199">
        <v>59</v>
      </c>
      <c r="G199">
        <v>5719</v>
      </c>
      <c r="H199">
        <v>14</v>
      </c>
      <c r="I199" s="1">
        <v>45124</v>
      </c>
      <c r="J199" s="7">
        <f>Table1[[#This Row],[Required_Qty]]-Table1[[#This Row],[Available_Qty]]</f>
        <v>-31</v>
      </c>
      <c r="K199" s="7">
        <v>31</v>
      </c>
      <c r="L199" s="7">
        <f>IF(Table1[[#This Row],[Required_Qty]]&gt;Table1[[#This Row],[Available_Qty]],Table1[[#This Row],[Required_Qty]]-Table1[[#This Row],[Available_Qty]],0)</f>
        <v>0</v>
      </c>
      <c r="M199" s="7">
        <f>IF(Table1[[#This Row],[Required_Qty]]&lt;Table1[[#This Row],[Available_Qty]],Table1[[#This Row],[Available_Qty]]-Table1[[#This Row],[Required_Qty]],0)</f>
        <v>31</v>
      </c>
      <c r="N199">
        <v>337421</v>
      </c>
      <c r="O199" s="7">
        <f>IF(AND(Table1[[#This Row],[Clean_Shortage]]&gt;0,Table1[[#This Row],[Lead_Time_Days]]&gt;10),1,0)</f>
        <v>0</v>
      </c>
    </row>
    <row r="200" spans="1:15" x14ac:dyDescent="0.3">
      <c r="A200" t="s">
        <v>210</v>
      </c>
      <c r="B200" t="s">
        <v>514</v>
      </c>
      <c r="C200" t="s">
        <v>517</v>
      </c>
      <c r="D200">
        <v>69</v>
      </c>
      <c r="E200">
        <v>7</v>
      </c>
      <c r="F200">
        <v>23</v>
      </c>
      <c r="G200">
        <v>1593</v>
      </c>
      <c r="H200">
        <v>11</v>
      </c>
      <c r="I200" s="1">
        <v>45125</v>
      </c>
      <c r="J200" s="7">
        <f>Table1[[#This Row],[Required_Qty]]-Table1[[#This Row],[Available_Qty]]</f>
        <v>62</v>
      </c>
      <c r="K200" s="7">
        <v>-62</v>
      </c>
      <c r="L200" s="7">
        <f>IF(Table1[[#This Row],[Required_Qty]]&gt;Table1[[#This Row],[Available_Qty]],Table1[[#This Row],[Required_Qty]]-Table1[[#This Row],[Available_Qty]],0)</f>
        <v>62</v>
      </c>
      <c r="M200" s="7">
        <f>IF(Table1[[#This Row],[Required_Qty]]&lt;Table1[[#This Row],[Available_Qty]],Table1[[#This Row],[Available_Qty]]-Table1[[#This Row],[Required_Qty]],0)</f>
        <v>0</v>
      </c>
      <c r="N200">
        <v>36639</v>
      </c>
      <c r="O200" s="7">
        <f>IF(AND(Table1[[#This Row],[Clean_Shortage]]&gt;0,Table1[[#This Row],[Lead_Time_Days]]&gt;10),1,0)</f>
        <v>1</v>
      </c>
    </row>
    <row r="201" spans="1:15" hidden="1" x14ac:dyDescent="0.3">
      <c r="A201" t="s">
        <v>211</v>
      </c>
      <c r="B201" t="s">
        <v>512</v>
      </c>
      <c r="C201" t="s">
        <v>517</v>
      </c>
      <c r="D201">
        <v>59</v>
      </c>
      <c r="E201">
        <v>41</v>
      </c>
      <c r="F201">
        <v>49</v>
      </c>
      <c r="G201">
        <v>5839</v>
      </c>
      <c r="H201">
        <v>3</v>
      </c>
      <c r="I201" s="1">
        <v>45126</v>
      </c>
      <c r="J201" s="7">
        <f>Table1[[#This Row],[Required_Qty]]-Table1[[#This Row],[Available_Qty]]</f>
        <v>18</v>
      </c>
      <c r="K201" s="7">
        <v>-18</v>
      </c>
      <c r="L201" s="7">
        <f>IF(Table1[[#This Row],[Required_Qty]]&gt;Table1[[#This Row],[Available_Qty]],Table1[[#This Row],[Required_Qty]]-Table1[[#This Row],[Available_Qty]],0)</f>
        <v>18</v>
      </c>
      <c r="M201" s="7">
        <f>IF(Table1[[#This Row],[Required_Qty]]&lt;Table1[[#This Row],[Available_Qty]],Table1[[#This Row],[Available_Qty]]-Table1[[#This Row],[Required_Qty]],0)</f>
        <v>0</v>
      </c>
      <c r="N201">
        <v>286111</v>
      </c>
      <c r="O201" s="7">
        <f>IF(AND(Table1[[#This Row],[Clean_Shortage]]&gt;0,Table1[[#This Row],[Lead_Time_Days]]&gt;10),1,0)</f>
        <v>0</v>
      </c>
    </row>
    <row r="202" spans="1:15" hidden="1" x14ac:dyDescent="0.3">
      <c r="A202" t="s">
        <v>212</v>
      </c>
      <c r="B202" t="s">
        <v>512</v>
      </c>
      <c r="C202" t="s">
        <v>517</v>
      </c>
      <c r="D202">
        <v>87</v>
      </c>
      <c r="E202">
        <v>47</v>
      </c>
      <c r="F202">
        <v>48</v>
      </c>
      <c r="G202">
        <v>8394</v>
      </c>
      <c r="H202">
        <v>1</v>
      </c>
      <c r="I202" s="1">
        <v>45127</v>
      </c>
      <c r="J202" s="7">
        <f>Table1[[#This Row],[Required_Qty]]-Table1[[#This Row],[Available_Qty]]</f>
        <v>40</v>
      </c>
      <c r="K202" s="7">
        <v>-40</v>
      </c>
      <c r="L202" s="7">
        <f>IF(Table1[[#This Row],[Required_Qty]]&gt;Table1[[#This Row],[Available_Qty]],Table1[[#This Row],[Required_Qty]]-Table1[[#This Row],[Available_Qty]],0)</f>
        <v>40</v>
      </c>
      <c r="M202" s="7">
        <f>IF(Table1[[#This Row],[Required_Qty]]&lt;Table1[[#This Row],[Available_Qty]],Table1[[#This Row],[Available_Qty]]-Table1[[#This Row],[Required_Qty]],0)</f>
        <v>0</v>
      </c>
      <c r="N202">
        <v>402912</v>
      </c>
      <c r="O202" s="7">
        <f>IF(AND(Table1[[#This Row],[Clean_Shortage]]&gt;0,Table1[[#This Row],[Lead_Time_Days]]&gt;10),1,0)</f>
        <v>0</v>
      </c>
    </row>
    <row r="203" spans="1:15" hidden="1" x14ac:dyDescent="0.3">
      <c r="A203" t="s">
        <v>213</v>
      </c>
      <c r="B203" t="s">
        <v>513</v>
      </c>
      <c r="C203" t="s">
        <v>517</v>
      </c>
      <c r="D203">
        <v>84</v>
      </c>
      <c r="E203">
        <v>44</v>
      </c>
      <c r="F203">
        <v>50</v>
      </c>
      <c r="G203">
        <v>4493</v>
      </c>
      <c r="H203">
        <v>4</v>
      </c>
      <c r="I203" s="1">
        <v>45128</v>
      </c>
      <c r="J203" s="7">
        <f>Table1[[#This Row],[Required_Qty]]-Table1[[#This Row],[Available_Qty]]</f>
        <v>40</v>
      </c>
      <c r="K203" s="7">
        <v>-40</v>
      </c>
      <c r="L203" s="7">
        <f>IF(Table1[[#This Row],[Required_Qty]]&gt;Table1[[#This Row],[Available_Qty]],Table1[[#This Row],[Required_Qty]]-Table1[[#This Row],[Available_Qty]],0)</f>
        <v>40</v>
      </c>
      <c r="M203" s="7">
        <f>IF(Table1[[#This Row],[Required_Qty]]&lt;Table1[[#This Row],[Available_Qty]],Table1[[#This Row],[Available_Qty]]-Table1[[#This Row],[Required_Qty]],0)</f>
        <v>0</v>
      </c>
      <c r="N203">
        <v>224650</v>
      </c>
      <c r="O203" s="7">
        <f>IF(AND(Table1[[#This Row],[Clean_Shortage]]&gt;0,Table1[[#This Row],[Lead_Time_Days]]&gt;10),1,0)</f>
        <v>0</v>
      </c>
    </row>
    <row r="204" spans="1:15" hidden="1" x14ac:dyDescent="0.3">
      <c r="A204" t="s">
        <v>214</v>
      </c>
      <c r="B204" t="s">
        <v>512</v>
      </c>
      <c r="C204" t="s">
        <v>517</v>
      </c>
      <c r="D204">
        <v>18</v>
      </c>
      <c r="E204">
        <v>94</v>
      </c>
      <c r="F204">
        <v>35</v>
      </c>
      <c r="G204">
        <v>7164</v>
      </c>
      <c r="H204">
        <v>13</v>
      </c>
      <c r="I204" s="1">
        <v>45129</v>
      </c>
      <c r="J204" s="7">
        <f>Table1[[#This Row],[Required_Qty]]-Table1[[#This Row],[Available_Qty]]</f>
        <v>-76</v>
      </c>
      <c r="K204" s="7">
        <v>76</v>
      </c>
      <c r="L204" s="7">
        <f>IF(Table1[[#This Row],[Required_Qty]]&gt;Table1[[#This Row],[Available_Qty]],Table1[[#This Row],[Required_Qty]]-Table1[[#This Row],[Available_Qty]],0)</f>
        <v>0</v>
      </c>
      <c r="M204" s="7">
        <f>IF(Table1[[#This Row],[Required_Qty]]&lt;Table1[[#This Row],[Available_Qty]],Table1[[#This Row],[Available_Qty]]-Table1[[#This Row],[Required_Qty]],0)</f>
        <v>76</v>
      </c>
      <c r="N204">
        <v>250740</v>
      </c>
      <c r="O204" s="7">
        <f>IF(AND(Table1[[#This Row],[Clean_Shortage]]&gt;0,Table1[[#This Row],[Lead_Time_Days]]&gt;10),1,0)</f>
        <v>0</v>
      </c>
    </row>
    <row r="205" spans="1:15" hidden="1" x14ac:dyDescent="0.3">
      <c r="A205" t="s">
        <v>215</v>
      </c>
      <c r="B205" t="s">
        <v>514</v>
      </c>
      <c r="C205" t="s">
        <v>518</v>
      </c>
      <c r="D205">
        <v>43</v>
      </c>
      <c r="E205">
        <v>59</v>
      </c>
      <c r="F205">
        <v>65</v>
      </c>
      <c r="G205">
        <v>3672</v>
      </c>
      <c r="H205">
        <v>2</v>
      </c>
      <c r="I205" s="1">
        <v>45130</v>
      </c>
      <c r="J205" s="7">
        <f>Table1[[#This Row],[Required_Qty]]-Table1[[#This Row],[Available_Qty]]</f>
        <v>-16</v>
      </c>
      <c r="K205" s="7">
        <v>16</v>
      </c>
      <c r="L205" s="7">
        <f>IF(Table1[[#This Row],[Required_Qty]]&gt;Table1[[#This Row],[Available_Qty]],Table1[[#This Row],[Required_Qty]]-Table1[[#This Row],[Available_Qty]],0)</f>
        <v>0</v>
      </c>
      <c r="M205" s="7">
        <f>IF(Table1[[#This Row],[Required_Qty]]&lt;Table1[[#This Row],[Available_Qty]],Table1[[#This Row],[Available_Qty]]-Table1[[#This Row],[Required_Qty]],0)</f>
        <v>16</v>
      </c>
      <c r="N205">
        <v>238680</v>
      </c>
      <c r="O205" s="7">
        <f>IF(AND(Table1[[#This Row],[Clean_Shortage]]&gt;0,Table1[[#This Row],[Lead_Time_Days]]&gt;10),1,0)</f>
        <v>0</v>
      </c>
    </row>
    <row r="206" spans="1:15" hidden="1" x14ac:dyDescent="0.3">
      <c r="A206" t="s">
        <v>216</v>
      </c>
      <c r="B206" t="s">
        <v>513</v>
      </c>
      <c r="C206" t="s">
        <v>517</v>
      </c>
      <c r="D206">
        <v>85</v>
      </c>
      <c r="E206">
        <v>91</v>
      </c>
      <c r="F206">
        <v>78</v>
      </c>
      <c r="G206">
        <v>5200</v>
      </c>
      <c r="H206">
        <v>2</v>
      </c>
      <c r="I206" s="1">
        <v>45131</v>
      </c>
      <c r="J206" s="7">
        <f>Table1[[#This Row],[Required_Qty]]-Table1[[#This Row],[Available_Qty]]</f>
        <v>-6</v>
      </c>
      <c r="K206" s="7">
        <v>6</v>
      </c>
      <c r="L206" s="7">
        <f>IF(Table1[[#This Row],[Required_Qty]]&gt;Table1[[#This Row],[Available_Qty]],Table1[[#This Row],[Required_Qty]]-Table1[[#This Row],[Available_Qty]],0)</f>
        <v>0</v>
      </c>
      <c r="M206" s="7">
        <f>IF(Table1[[#This Row],[Required_Qty]]&lt;Table1[[#This Row],[Available_Qty]],Table1[[#This Row],[Available_Qty]]-Table1[[#This Row],[Required_Qty]],0)</f>
        <v>6</v>
      </c>
      <c r="N206">
        <v>405600</v>
      </c>
      <c r="O206" s="7">
        <f>IF(AND(Table1[[#This Row],[Clean_Shortage]]&gt;0,Table1[[#This Row],[Lead_Time_Days]]&gt;10),1,0)</f>
        <v>0</v>
      </c>
    </row>
    <row r="207" spans="1:15" hidden="1" x14ac:dyDescent="0.3">
      <c r="A207" t="s">
        <v>217</v>
      </c>
      <c r="B207" t="s">
        <v>514</v>
      </c>
      <c r="C207" t="s">
        <v>517</v>
      </c>
      <c r="D207">
        <v>44</v>
      </c>
      <c r="E207">
        <v>112</v>
      </c>
      <c r="F207">
        <v>33</v>
      </c>
      <c r="G207">
        <v>1016</v>
      </c>
      <c r="H207">
        <v>3</v>
      </c>
      <c r="I207" s="1">
        <v>45132</v>
      </c>
      <c r="J207" s="7">
        <f>Table1[[#This Row],[Required_Qty]]-Table1[[#This Row],[Available_Qty]]</f>
        <v>-68</v>
      </c>
      <c r="K207" s="7">
        <v>68</v>
      </c>
      <c r="L207" s="7">
        <f>IF(Table1[[#This Row],[Required_Qty]]&gt;Table1[[#This Row],[Available_Qty]],Table1[[#This Row],[Required_Qty]]-Table1[[#This Row],[Available_Qty]],0)</f>
        <v>0</v>
      </c>
      <c r="M207" s="7">
        <f>IF(Table1[[#This Row],[Required_Qty]]&lt;Table1[[#This Row],[Available_Qty]],Table1[[#This Row],[Available_Qty]]-Table1[[#This Row],[Required_Qty]],0)</f>
        <v>68</v>
      </c>
      <c r="N207">
        <v>33528</v>
      </c>
      <c r="O207" s="7">
        <f>IF(AND(Table1[[#This Row],[Clean_Shortage]]&gt;0,Table1[[#This Row],[Lead_Time_Days]]&gt;10),1,0)</f>
        <v>0</v>
      </c>
    </row>
    <row r="208" spans="1:15" hidden="1" x14ac:dyDescent="0.3">
      <c r="A208" t="s">
        <v>218</v>
      </c>
      <c r="B208" t="s">
        <v>513</v>
      </c>
      <c r="C208" t="s">
        <v>516</v>
      </c>
      <c r="D208">
        <v>10</v>
      </c>
      <c r="E208">
        <v>43</v>
      </c>
      <c r="F208">
        <v>35</v>
      </c>
      <c r="G208">
        <v>4191</v>
      </c>
      <c r="H208">
        <v>8</v>
      </c>
      <c r="I208" s="1">
        <v>45133</v>
      </c>
      <c r="J208" s="7">
        <f>Table1[[#This Row],[Required_Qty]]-Table1[[#This Row],[Available_Qty]]</f>
        <v>-33</v>
      </c>
      <c r="K208" s="7">
        <v>33</v>
      </c>
      <c r="L208" s="7">
        <f>IF(Table1[[#This Row],[Required_Qty]]&gt;Table1[[#This Row],[Available_Qty]],Table1[[#This Row],[Required_Qty]]-Table1[[#This Row],[Available_Qty]],0)</f>
        <v>0</v>
      </c>
      <c r="M208" s="7">
        <f>IF(Table1[[#This Row],[Required_Qty]]&lt;Table1[[#This Row],[Available_Qty]],Table1[[#This Row],[Available_Qty]]-Table1[[#This Row],[Required_Qty]],0)</f>
        <v>33</v>
      </c>
      <c r="N208">
        <v>146685</v>
      </c>
      <c r="O208" s="7">
        <f>IF(AND(Table1[[#This Row],[Clean_Shortage]]&gt;0,Table1[[#This Row],[Lead_Time_Days]]&gt;10),1,0)</f>
        <v>0</v>
      </c>
    </row>
    <row r="209" spans="1:15" hidden="1" x14ac:dyDescent="0.3">
      <c r="A209" t="s">
        <v>219</v>
      </c>
      <c r="B209" t="s">
        <v>513</v>
      </c>
      <c r="C209" t="s">
        <v>517</v>
      </c>
      <c r="D209">
        <v>49</v>
      </c>
      <c r="E209">
        <v>19</v>
      </c>
      <c r="F209">
        <v>5</v>
      </c>
      <c r="G209">
        <v>1392</v>
      </c>
      <c r="H209">
        <v>8</v>
      </c>
      <c r="I209" s="1">
        <v>45134</v>
      </c>
      <c r="J209" s="7">
        <f>Table1[[#This Row],[Required_Qty]]-Table1[[#This Row],[Available_Qty]]</f>
        <v>30</v>
      </c>
      <c r="K209" s="7">
        <v>-30</v>
      </c>
      <c r="L209" s="7">
        <f>IF(Table1[[#This Row],[Required_Qty]]&gt;Table1[[#This Row],[Available_Qty]],Table1[[#This Row],[Required_Qty]]-Table1[[#This Row],[Available_Qty]],0)</f>
        <v>30</v>
      </c>
      <c r="M209" s="7">
        <f>IF(Table1[[#This Row],[Required_Qty]]&lt;Table1[[#This Row],[Available_Qty]],Table1[[#This Row],[Available_Qty]]-Table1[[#This Row],[Required_Qty]],0)</f>
        <v>0</v>
      </c>
      <c r="N209">
        <v>6960</v>
      </c>
      <c r="O209" s="7">
        <f>IF(AND(Table1[[#This Row],[Clean_Shortage]]&gt;0,Table1[[#This Row],[Lead_Time_Days]]&gt;10),1,0)</f>
        <v>0</v>
      </c>
    </row>
    <row r="210" spans="1:15" hidden="1" x14ac:dyDescent="0.3">
      <c r="A210" t="s">
        <v>220</v>
      </c>
      <c r="B210" t="s">
        <v>515</v>
      </c>
      <c r="C210" t="s">
        <v>516</v>
      </c>
      <c r="D210">
        <v>73</v>
      </c>
      <c r="E210">
        <v>117</v>
      </c>
      <c r="F210">
        <v>38</v>
      </c>
      <c r="G210">
        <v>9616</v>
      </c>
      <c r="H210">
        <v>12</v>
      </c>
      <c r="I210" s="1">
        <v>45135</v>
      </c>
      <c r="J210" s="7">
        <f>Table1[[#This Row],[Required_Qty]]-Table1[[#This Row],[Available_Qty]]</f>
        <v>-44</v>
      </c>
      <c r="K210" s="7">
        <v>44</v>
      </c>
      <c r="L210" s="7">
        <f>IF(Table1[[#This Row],[Required_Qty]]&gt;Table1[[#This Row],[Available_Qty]],Table1[[#This Row],[Required_Qty]]-Table1[[#This Row],[Available_Qty]],0)</f>
        <v>0</v>
      </c>
      <c r="M210" s="7">
        <f>IF(Table1[[#This Row],[Required_Qty]]&lt;Table1[[#This Row],[Available_Qty]],Table1[[#This Row],[Available_Qty]]-Table1[[#This Row],[Required_Qty]],0)</f>
        <v>44</v>
      </c>
      <c r="N210">
        <v>365408</v>
      </c>
      <c r="O210" s="7">
        <f>IF(AND(Table1[[#This Row],[Clean_Shortage]]&gt;0,Table1[[#This Row],[Lead_Time_Days]]&gt;10),1,0)</f>
        <v>0</v>
      </c>
    </row>
    <row r="211" spans="1:15" hidden="1" x14ac:dyDescent="0.3">
      <c r="A211" t="s">
        <v>221</v>
      </c>
      <c r="B211" t="s">
        <v>514</v>
      </c>
      <c r="C211" t="s">
        <v>518</v>
      </c>
      <c r="D211">
        <v>31</v>
      </c>
      <c r="E211">
        <v>8</v>
      </c>
      <c r="F211">
        <v>41</v>
      </c>
      <c r="G211">
        <v>7272</v>
      </c>
      <c r="H211">
        <v>7</v>
      </c>
      <c r="I211" s="1">
        <v>45136</v>
      </c>
      <c r="J211" s="7">
        <f>Table1[[#This Row],[Required_Qty]]-Table1[[#This Row],[Available_Qty]]</f>
        <v>23</v>
      </c>
      <c r="K211" s="7">
        <v>-23</v>
      </c>
      <c r="L211" s="7">
        <f>IF(Table1[[#This Row],[Required_Qty]]&gt;Table1[[#This Row],[Available_Qty]],Table1[[#This Row],[Required_Qty]]-Table1[[#This Row],[Available_Qty]],0)</f>
        <v>23</v>
      </c>
      <c r="M211" s="7">
        <f>IF(Table1[[#This Row],[Required_Qty]]&lt;Table1[[#This Row],[Available_Qty]],Table1[[#This Row],[Available_Qty]]-Table1[[#This Row],[Required_Qty]],0)</f>
        <v>0</v>
      </c>
      <c r="N211">
        <v>298152</v>
      </c>
      <c r="O211" s="7">
        <f>IF(AND(Table1[[#This Row],[Clean_Shortage]]&gt;0,Table1[[#This Row],[Lead_Time_Days]]&gt;10),1,0)</f>
        <v>0</v>
      </c>
    </row>
    <row r="212" spans="1:15" hidden="1" x14ac:dyDescent="0.3">
      <c r="A212" t="s">
        <v>222</v>
      </c>
      <c r="B212" t="s">
        <v>512</v>
      </c>
      <c r="C212" t="s">
        <v>517</v>
      </c>
      <c r="D212">
        <v>69</v>
      </c>
      <c r="E212">
        <v>97</v>
      </c>
      <c r="F212">
        <v>57</v>
      </c>
      <c r="G212">
        <v>1571</v>
      </c>
      <c r="H212">
        <v>6</v>
      </c>
      <c r="I212" s="1">
        <v>45137</v>
      </c>
      <c r="J212" s="7">
        <f>Table1[[#This Row],[Required_Qty]]-Table1[[#This Row],[Available_Qty]]</f>
        <v>-28</v>
      </c>
      <c r="K212" s="7">
        <v>28</v>
      </c>
      <c r="L212" s="7">
        <f>IF(Table1[[#This Row],[Required_Qty]]&gt;Table1[[#This Row],[Available_Qty]],Table1[[#This Row],[Required_Qty]]-Table1[[#This Row],[Available_Qty]],0)</f>
        <v>0</v>
      </c>
      <c r="M212" s="7">
        <f>IF(Table1[[#This Row],[Required_Qty]]&lt;Table1[[#This Row],[Available_Qty]],Table1[[#This Row],[Available_Qty]]-Table1[[#This Row],[Required_Qty]],0)</f>
        <v>28</v>
      </c>
      <c r="N212">
        <v>89547</v>
      </c>
      <c r="O212" s="7">
        <f>IF(AND(Table1[[#This Row],[Clean_Shortage]]&gt;0,Table1[[#This Row],[Lead_Time_Days]]&gt;10),1,0)</f>
        <v>0</v>
      </c>
    </row>
    <row r="213" spans="1:15" hidden="1" x14ac:dyDescent="0.3">
      <c r="A213" t="s">
        <v>223</v>
      </c>
      <c r="B213" t="s">
        <v>512</v>
      </c>
      <c r="C213" t="s">
        <v>516</v>
      </c>
      <c r="D213">
        <v>73</v>
      </c>
      <c r="E213">
        <v>90</v>
      </c>
      <c r="F213">
        <v>11</v>
      </c>
      <c r="G213">
        <v>4631</v>
      </c>
      <c r="H213">
        <v>9</v>
      </c>
      <c r="I213" s="1">
        <v>45138</v>
      </c>
      <c r="J213" s="7">
        <f>Table1[[#This Row],[Required_Qty]]-Table1[[#This Row],[Available_Qty]]</f>
        <v>-17</v>
      </c>
      <c r="K213" s="7">
        <v>17</v>
      </c>
      <c r="L213" s="7">
        <f>IF(Table1[[#This Row],[Required_Qty]]&gt;Table1[[#This Row],[Available_Qty]],Table1[[#This Row],[Required_Qty]]-Table1[[#This Row],[Available_Qty]],0)</f>
        <v>0</v>
      </c>
      <c r="M213" s="7">
        <f>IF(Table1[[#This Row],[Required_Qty]]&lt;Table1[[#This Row],[Available_Qty]],Table1[[#This Row],[Available_Qty]]-Table1[[#This Row],[Required_Qty]],0)</f>
        <v>17</v>
      </c>
      <c r="N213">
        <v>50941</v>
      </c>
      <c r="O213" s="7">
        <f>IF(AND(Table1[[#This Row],[Clean_Shortage]]&gt;0,Table1[[#This Row],[Lead_Time_Days]]&gt;10),1,0)</f>
        <v>0</v>
      </c>
    </row>
    <row r="214" spans="1:15" hidden="1" x14ac:dyDescent="0.3">
      <c r="A214" t="s">
        <v>224</v>
      </c>
      <c r="B214" t="s">
        <v>514</v>
      </c>
      <c r="C214" t="s">
        <v>516</v>
      </c>
      <c r="D214">
        <v>81</v>
      </c>
      <c r="E214">
        <v>29</v>
      </c>
      <c r="F214">
        <v>2</v>
      </c>
      <c r="G214">
        <v>7172</v>
      </c>
      <c r="H214">
        <v>4</v>
      </c>
      <c r="I214" s="1">
        <v>45139</v>
      </c>
      <c r="J214" s="7">
        <f>Table1[[#This Row],[Required_Qty]]-Table1[[#This Row],[Available_Qty]]</f>
        <v>52</v>
      </c>
      <c r="K214" s="7">
        <v>-52</v>
      </c>
      <c r="L214" s="7">
        <f>IF(Table1[[#This Row],[Required_Qty]]&gt;Table1[[#This Row],[Available_Qty]],Table1[[#This Row],[Required_Qty]]-Table1[[#This Row],[Available_Qty]],0)</f>
        <v>52</v>
      </c>
      <c r="M214" s="7">
        <f>IF(Table1[[#This Row],[Required_Qty]]&lt;Table1[[#This Row],[Available_Qty]],Table1[[#This Row],[Available_Qty]]-Table1[[#This Row],[Required_Qty]],0)</f>
        <v>0</v>
      </c>
      <c r="N214">
        <v>14344</v>
      </c>
      <c r="O214" s="7">
        <f>IF(AND(Table1[[#This Row],[Clean_Shortage]]&gt;0,Table1[[#This Row],[Lead_Time_Days]]&gt;10),1,0)</f>
        <v>0</v>
      </c>
    </row>
    <row r="215" spans="1:15" x14ac:dyDescent="0.3">
      <c r="A215" t="s">
        <v>225</v>
      </c>
      <c r="B215" t="s">
        <v>512</v>
      </c>
      <c r="C215" t="s">
        <v>518</v>
      </c>
      <c r="D215">
        <v>20</v>
      </c>
      <c r="E215">
        <v>17</v>
      </c>
      <c r="F215">
        <v>17</v>
      </c>
      <c r="G215">
        <v>8177</v>
      </c>
      <c r="H215">
        <v>12</v>
      </c>
      <c r="I215" s="1">
        <v>45140</v>
      </c>
      <c r="J215" s="7">
        <f>Table1[[#This Row],[Required_Qty]]-Table1[[#This Row],[Available_Qty]]</f>
        <v>3</v>
      </c>
      <c r="K215" s="7">
        <v>-3</v>
      </c>
      <c r="L215" s="7">
        <f>IF(Table1[[#This Row],[Required_Qty]]&gt;Table1[[#This Row],[Available_Qty]],Table1[[#This Row],[Required_Qty]]-Table1[[#This Row],[Available_Qty]],0)</f>
        <v>3</v>
      </c>
      <c r="M215" s="7">
        <f>IF(Table1[[#This Row],[Required_Qty]]&lt;Table1[[#This Row],[Available_Qty]],Table1[[#This Row],[Available_Qty]]-Table1[[#This Row],[Required_Qty]],0)</f>
        <v>0</v>
      </c>
      <c r="N215">
        <v>139009</v>
      </c>
      <c r="O215" s="7">
        <f>IF(AND(Table1[[#This Row],[Clean_Shortage]]&gt;0,Table1[[#This Row],[Lead_Time_Days]]&gt;10),1,0)</f>
        <v>1</v>
      </c>
    </row>
    <row r="216" spans="1:15" hidden="1" x14ac:dyDescent="0.3">
      <c r="A216" t="s">
        <v>226</v>
      </c>
      <c r="B216" t="s">
        <v>512</v>
      </c>
      <c r="C216" t="s">
        <v>517</v>
      </c>
      <c r="D216">
        <v>23</v>
      </c>
      <c r="E216">
        <v>86</v>
      </c>
      <c r="F216">
        <v>39</v>
      </c>
      <c r="G216">
        <v>9433</v>
      </c>
      <c r="H216">
        <v>1</v>
      </c>
      <c r="I216" s="1">
        <v>45141</v>
      </c>
      <c r="J216" s="7">
        <f>Table1[[#This Row],[Required_Qty]]-Table1[[#This Row],[Available_Qty]]</f>
        <v>-63</v>
      </c>
      <c r="K216" s="7">
        <v>63</v>
      </c>
      <c r="L216" s="7">
        <f>IF(Table1[[#This Row],[Required_Qty]]&gt;Table1[[#This Row],[Available_Qty]],Table1[[#This Row],[Required_Qty]]-Table1[[#This Row],[Available_Qty]],0)</f>
        <v>0</v>
      </c>
      <c r="M216" s="7">
        <f>IF(Table1[[#This Row],[Required_Qty]]&lt;Table1[[#This Row],[Available_Qty]],Table1[[#This Row],[Available_Qty]]-Table1[[#This Row],[Required_Qty]],0)</f>
        <v>63</v>
      </c>
      <c r="N216">
        <v>367887</v>
      </c>
      <c r="O216" s="7">
        <f>IF(AND(Table1[[#This Row],[Clean_Shortage]]&gt;0,Table1[[#This Row],[Lead_Time_Days]]&gt;10),1,0)</f>
        <v>0</v>
      </c>
    </row>
    <row r="217" spans="1:15" hidden="1" x14ac:dyDescent="0.3">
      <c r="A217" t="s">
        <v>227</v>
      </c>
      <c r="B217" t="s">
        <v>514</v>
      </c>
      <c r="C217" t="s">
        <v>517</v>
      </c>
      <c r="D217">
        <v>69</v>
      </c>
      <c r="E217">
        <v>37</v>
      </c>
      <c r="F217">
        <v>20</v>
      </c>
      <c r="G217">
        <v>4897</v>
      </c>
      <c r="H217">
        <v>8</v>
      </c>
      <c r="I217" s="1">
        <v>45142</v>
      </c>
      <c r="J217" s="7">
        <f>Table1[[#This Row],[Required_Qty]]-Table1[[#This Row],[Available_Qty]]</f>
        <v>32</v>
      </c>
      <c r="K217" s="7">
        <v>-32</v>
      </c>
      <c r="L217" s="7">
        <f>IF(Table1[[#This Row],[Required_Qty]]&gt;Table1[[#This Row],[Available_Qty]],Table1[[#This Row],[Required_Qty]]-Table1[[#This Row],[Available_Qty]],0)</f>
        <v>32</v>
      </c>
      <c r="M217" s="7">
        <f>IF(Table1[[#This Row],[Required_Qty]]&lt;Table1[[#This Row],[Available_Qty]],Table1[[#This Row],[Available_Qty]]-Table1[[#This Row],[Required_Qty]],0)</f>
        <v>0</v>
      </c>
      <c r="N217">
        <v>97940</v>
      </c>
      <c r="O217" s="7">
        <f>IF(AND(Table1[[#This Row],[Clean_Shortage]]&gt;0,Table1[[#This Row],[Lead_Time_Days]]&gt;10),1,0)</f>
        <v>0</v>
      </c>
    </row>
    <row r="218" spans="1:15" hidden="1" x14ac:dyDescent="0.3">
      <c r="A218" t="s">
        <v>228</v>
      </c>
      <c r="B218" t="s">
        <v>513</v>
      </c>
      <c r="C218" t="s">
        <v>516</v>
      </c>
      <c r="D218">
        <v>39</v>
      </c>
      <c r="E218">
        <v>20</v>
      </c>
      <c r="F218">
        <v>14</v>
      </c>
      <c r="G218">
        <v>9123</v>
      </c>
      <c r="H218">
        <v>7</v>
      </c>
      <c r="I218" s="1">
        <v>45143</v>
      </c>
      <c r="J218" s="7">
        <f>Table1[[#This Row],[Required_Qty]]-Table1[[#This Row],[Available_Qty]]</f>
        <v>19</v>
      </c>
      <c r="K218" s="7">
        <v>-19</v>
      </c>
      <c r="L218" s="7">
        <f>IF(Table1[[#This Row],[Required_Qty]]&gt;Table1[[#This Row],[Available_Qty]],Table1[[#This Row],[Required_Qty]]-Table1[[#This Row],[Available_Qty]],0)</f>
        <v>19</v>
      </c>
      <c r="M218" s="7">
        <f>IF(Table1[[#This Row],[Required_Qty]]&lt;Table1[[#This Row],[Available_Qty]],Table1[[#This Row],[Available_Qty]]-Table1[[#This Row],[Required_Qty]],0)</f>
        <v>0</v>
      </c>
      <c r="N218">
        <v>127722</v>
      </c>
      <c r="O218" s="7">
        <f>IF(AND(Table1[[#This Row],[Clean_Shortage]]&gt;0,Table1[[#This Row],[Lead_Time_Days]]&gt;10),1,0)</f>
        <v>0</v>
      </c>
    </row>
    <row r="219" spans="1:15" hidden="1" x14ac:dyDescent="0.3">
      <c r="A219" t="s">
        <v>229</v>
      </c>
      <c r="B219" t="s">
        <v>514</v>
      </c>
      <c r="C219" t="s">
        <v>517</v>
      </c>
      <c r="D219">
        <v>44</v>
      </c>
      <c r="E219">
        <v>113</v>
      </c>
      <c r="F219">
        <v>25</v>
      </c>
      <c r="G219">
        <v>3279</v>
      </c>
      <c r="H219">
        <v>7</v>
      </c>
      <c r="I219" s="1">
        <v>45144</v>
      </c>
      <c r="J219" s="7">
        <f>Table1[[#This Row],[Required_Qty]]-Table1[[#This Row],[Available_Qty]]</f>
        <v>-69</v>
      </c>
      <c r="K219" s="7">
        <v>69</v>
      </c>
      <c r="L219" s="7">
        <f>IF(Table1[[#This Row],[Required_Qty]]&gt;Table1[[#This Row],[Available_Qty]],Table1[[#This Row],[Required_Qty]]-Table1[[#This Row],[Available_Qty]],0)</f>
        <v>0</v>
      </c>
      <c r="M219" s="7">
        <f>IF(Table1[[#This Row],[Required_Qty]]&lt;Table1[[#This Row],[Available_Qty]],Table1[[#This Row],[Available_Qty]]-Table1[[#This Row],[Required_Qty]],0)</f>
        <v>69</v>
      </c>
      <c r="N219">
        <v>81975</v>
      </c>
      <c r="O219" s="7">
        <f>IF(AND(Table1[[#This Row],[Clean_Shortage]]&gt;0,Table1[[#This Row],[Lead_Time_Days]]&gt;10),1,0)</f>
        <v>0</v>
      </c>
    </row>
    <row r="220" spans="1:15" hidden="1" x14ac:dyDescent="0.3">
      <c r="A220" t="s">
        <v>230</v>
      </c>
      <c r="B220" t="s">
        <v>513</v>
      </c>
      <c r="C220" t="s">
        <v>516</v>
      </c>
      <c r="D220">
        <v>94</v>
      </c>
      <c r="E220">
        <v>46</v>
      </c>
      <c r="F220">
        <v>7</v>
      </c>
      <c r="G220">
        <v>9980</v>
      </c>
      <c r="H220">
        <v>3</v>
      </c>
      <c r="I220" s="1">
        <v>45145</v>
      </c>
      <c r="J220" s="7">
        <f>Table1[[#This Row],[Required_Qty]]-Table1[[#This Row],[Available_Qty]]</f>
        <v>48</v>
      </c>
      <c r="K220" s="7">
        <v>-48</v>
      </c>
      <c r="L220" s="7">
        <f>IF(Table1[[#This Row],[Required_Qty]]&gt;Table1[[#This Row],[Available_Qty]],Table1[[#This Row],[Required_Qty]]-Table1[[#This Row],[Available_Qty]],0)</f>
        <v>48</v>
      </c>
      <c r="M220" s="7">
        <f>IF(Table1[[#This Row],[Required_Qty]]&lt;Table1[[#This Row],[Available_Qty]],Table1[[#This Row],[Available_Qty]]-Table1[[#This Row],[Required_Qty]],0)</f>
        <v>0</v>
      </c>
      <c r="N220">
        <v>69860</v>
      </c>
      <c r="O220" s="7">
        <f>IF(AND(Table1[[#This Row],[Clean_Shortage]]&gt;0,Table1[[#This Row],[Lead_Time_Days]]&gt;10),1,0)</f>
        <v>0</v>
      </c>
    </row>
    <row r="221" spans="1:15" hidden="1" x14ac:dyDescent="0.3">
      <c r="A221" t="s">
        <v>231</v>
      </c>
      <c r="B221" t="s">
        <v>512</v>
      </c>
      <c r="C221" t="s">
        <v>517</v>
      </c>
      <c r="D221">
        <v>46</v>
      </c>
      <c r="E221">
        <v>112</v>
      </c>
      <c r="F221">
        <v>41</v>
      </c>
      <c r="G221">
        <v>8451</v>
      </c>
      <c r="H221">
        <v>4</v>
      </c>
      <c r="I221" s="1">
        <v>45146</v>
      </c>
      <c r="J221" s="7">
        <f>Table1[[#This Row],[Required_Qty]]-Table1[[#This Row],[Available_Qty]]</f>
        <v>-66</v>
      </c>
      <c r="K221" s="7">
        <v>66</v>
      </c>
      <c r="L221" s="7">
        <f>IF(Table1[[#This Row],[Required_Qty]]&gt;Table1[[#This Row],[Available_Qty]],Table1[[#This Row],[Required_Qty]]-Table1[[#This Row],[Available_Qty]],0)</f>
        <v>0</v>
      </c>
      <c r="M221" s="7">
        <f>IF(Table1[[#This Row],[Required_Qty]]&lt;Table1[[#This Row],[Available_Qty]],Table1[[#This Row],[Available_Qty]]-Table1[[#This Row],[Required_Qty]],0)</f>
        <v>66</v>
      </c>
      <c r="N221">
        <v>346491</v>
      </c>
      <c r="O221" s="7">
        <f>IF(AND(Table1[[#This Row],[Clean_Shortage]]&gt;0,Table1[[#This Row],[Lead_Time_Days]]&gt;10),1,0)</f>
        <v>0</v>
      </c>
    </row>
    <row r="222" spans="1:15" hidden="1" x14ac:dyDescent="0.3">
      <c r="A222" t="s">
        <v>232</v>
      </c>
      <c r="B222" t="s">
        <v>512</v>
      </c>
      <c r="C222" t="s">
        <v>516</v>
      </c>
      <c r="D222">
        <v>14</v>
      </c>
      <c r="E222">
        <v>70</v>
      </c>
      <c r="F222">
        <v>43</v>
      </c>
      <c r="G222">
        <v>9906</v>
      </c>
      <c r="H222">
        <v>10</v>
      </c>
      <c r="I222" s="1">
        <v>45147</v>
      </c>
      <c r="J222" s="7">
        <f>Table1[[#This Row],[Required_Qty]]-Table1[[#This Row],[Available_Qty]]</f>
        <v>-56</v>
      </c>
      <c r="K222" s="7">
        <v>56</v>
      </c>
      <c r="L222" s="7">
        <f>IF(Table1[[#This Row],[Required_Qty]]&gt;Table1[[#This Row],[Available_Qty]],Table1[[#This Row],[Required_Qty]]-Table1[[#This Row],[Available_Qty]],0)</f>
        <v>0</v>
      </c>
      <c r="M222" s="7">
        <f>IF(Table1[[#This Row],[Required_Qty]]&lt;Table1[[#This Row],[Available_Qty]],Table1[[#This Row],[Available_Qty]]-Table1[[#This Row],[Required_Qty]],0)</f>
        <v>56</v>
      </c>
      <c r="N222">
        <v>425958</v>
      </c>
      <c r="O222" s="7">
        <f>IF(AND(Table1[[#This Row],[Clean_Shortage]]&gt;0,Table1[[#This Row],[Lead_Time_Days]]&gt;10),1,0)</f>
        <v>0</v>
      </c>
    </row>
    <row r="223" spans="1:15" hidden="1" x14ac:dyDescent="0.3">
      <c r="A223" t="s">
        <v>233</v>
      </c>
      <c r="B223" t="s">
        <v>512</v>
      </c>
      <c r="C223" t="s">
        <v>517</v>
      </c>
      <c r="D223">
        <v>92</v>
      </c>
      <c r="E223">
        <v>59</v>
      </c>
      <c r="F223">
        <v>13</v>
      </c>
      <c r="G223">
        <v>1775</v>
      </c>
      <c r="H223">
        <v>9</v>
      </c>
      <c r="I223" s="1">
        <v>45148</v>
      </c>
      <c r="J223" s="7">
        <f>Table1[[#This Row],[Required_Qty]]-Table1[[#This Row],[Available_Qty]]</f>
        <v>33</v>
      </c>
      <c r="K223" s="7">
        <v>-33</v>
      </c>
      <c r="L223" s="7">
        <f>IF(Table1[[#This Row],[Required_Qty]]&gt;Table1[[#This Row],[Available_Qty]],Table1[[#This Row],[Required_Qty]]-Table1[[#This Row],[Available_Qty]],0)</f>
        <v>33</v>
      </c>
      <c r="M223" s="7">
        <f>IF(Table1[[#This Row],[Required_Qty]]&lt;Table1[[#This Row],[Available_Qty]],Table1[[#This Row],[Available_Qty]]-Table1[[#This Row],[Required_Qty]],0)</f>
        <v>0</v>
      </c>
      <c r="N223">
        <v>23075</v>
      </c>
      <c r="O223" s="7">
        <f>IF(AND(Table1[[#This Row],[Clean_Shortage]]&gt;0,Table1[[#This Row],[Lead_Time_Days]]&gt;10),1,0)</f>
        <v>0</v>
      </c>
    </row>
    <row r="224" spans="1:15" hidden="1" x14ac:dyDescent="0.3">
      <c r="A224" t="s">
        <v>234</v>
      </c>
      <c r="B224" t="s">
        <v>515</v>
      </c>
      <c r="C224" t="s">
        <v>518</v>
      </c>
      <c r="D224">
        <v>87</v>
      </c>
      <c r="E224">
        <v>103</v>
      </c>
      <c r="F224">
        <v>77</v>
      </c>
      <c r="G224">
        <v>7869</v>
      </c>
      <c r="H224">
        <v>6</v>
      </c>
      <c r="I224" s="1">
        <v>45149</v>
      </c>
      <c r="J224" s="7">
        <f>Table1[[#This Row],[Required_Qty]]-Table1[[#This Row],[Available_Qty]]</f>
        <v>-16</v>
      </c>
      <c r="K224" s="7">
        <v>16</v>
      </c>
      <c r="L224" s="7">
        <f>IF(Table1[[#This Row],[Required_Qty]]&gt;Table1[[#This Row],[Available_Qty]],Table1[[#This Row],[Required_Qty]]-Table1[[#This Row],[Available_Qty]],0)</f>
        <v>0</v>
      </c>
      <c r="M224" s="7">
        <f>IF(Table1[[#This Row],[Required_Qty]]&lt;Table1[[#This Row],[Available_Qty]],Table1[[#This Row],[Available_Qty]]-Table1[[#This Row],[Required_Qty]],0)</f>
        <v>16</v>
      </c>
      <c r="N224">
        <v>605913</v>
      </c>
      <c r="O224" s="7">
        <f>IF(AND(Table1[[#This Row],[Clean_Shortage]]&gt;0,Table1[[#This Row],[Lead_Time_Days]]&gt;10),1,0)</f>
        <v>0</v>
      </c>
    </row>
    <row r="225" spans="1:15" hidden="1" x14ac:dyDescent="0.3">
      <c r="A225" t="s">
        <v>235</v>
      </c>
      <c r="B225" t="s">
        <v>513</v>
      </c>
      <c r="C225" t="s">
        <v>517</v>
      </c>
      <c r="D225">
        <v>35</v>
      </c>
      <c r="E225">
        <v>46</v>
      </c>
      <c r="F225">
        <v>1</v>
      </c>
      <c r="G225">
        <v>3247</v>
      </c>
      <c r="H225">
        <v>5</v>
      </c>
      <c r="I225" s="1">
        <v>45150</v>
      </c>
      <c r="J225" s="7">
        <f>Table1[[#This Row],[Required_Qty]]-Table1[[#This Row],[Available_Qty]]</f>
        <v>-11</v>
      </c>
      <c r="K225" s="7">
        <v>11</v>
      </c>
      <c r="L225" s="7">
        <f>IF(Table1[[#This Row],[Required_Qty]]&gt;Table1[[#This Row],[Available_Qty]],Table1[[#This Row],[Required_Qty]]-Table1[[#This Row],[Available_Qty]],0)</f>
        <v>0</v>
      </c>
      <c r="M225" s="7">
        <f>IF(Table1[[#This Row],[Required_Qty]]&lt;Table1[[#This Row],[Available_Qty]],Table1[[#This Row],[Available_Qty]]-Table1[[#This Row],[Required_Qty]],0)</f>
        <v>11</v>
      </c>
      <c r="N225">
        <v>3247</v>
      </c>
      <c r="O225" s="7">
        <f>IF(AND(Table1[[#This Row],[Clean_Shortage]]&gt;0,Table1[[#This Row],[Lead_Time_Days]]&gt;10),1,0)</f>
        <v>0</v>
      </c>
    </row>
    <row r="226" spans="1:15" hidden="1" x14ac:dyDescent="0.3">
      <c r="A226" t="s">
        <v>236</v>
      </c>
      <c r="B226" t="s">
        <v>515</v>
      </c>
      <c r="C226" t="s">
        <v>517</v>
      </c>
      <c r="D226">
        <v>71</v>
      </c>
      <c r="E226">
        <v>38</v>
      </c>
      <c r="F226">
        <v>36</v>
      </c>
      <c r="G226">
        <v>8088</v>
      </c>
      <c r="H226">
        <v>3</v>
      </c>
      <c r="I226" s="1">
        <v>45151</v>
      </c>
      <c r="J226" s="7">
        <f>Table1[[#This Row],[Required_Qty]]-Table1[[#This Row],[Available_Qty]]</f>
        <v>33</v>
      </c>
      <c r="K226" s="7">
        <v>-33</v>
      </c>
      <c r="L226" s="7">
        <f>IF(Table1[[#This Row],[Required_Qty]]&gt;Table1[[#This Row],[Available_Qty]],Table1[[#This Row],[Required_Qty]]-Table1[[#This Row],[Available_Qty]],0)</f>
        <v>33</v>
      </c>
      <c r="M226" s="7">
        <f>IF(Table1[[#This Row],[Required_Qty]]&lt;Table1[[#This Row],[Available_Qty]],Table1[[#This Row],[Available_Qty]]-Table1[[#This Row],[Required_Qty]],0)</f>
        <v>0</v>
      </c>
      <c r="N226">
        <v>291168</v>
      </c>
      <c r="O226" s="7">
        <f>IF(AND(Table1[[#This Row],[Clean_Shortage]]&gt;0,Table1[[#This Row],[Lead_Time_Days]]&gt;10),1,0)</f>
        <v>0</v>
      </c>
    </row>
    <row r="227" spans="1:15" hidden="1" x14ac:dyDescent="0.3">
      <c r="A227" t="s">
        <v>237</v>
      </c>
      <c r="B227" t="s">
        <v>515</v>
      </c>
      <c r="C227" t="s">
        <v>518</v>
      </c>
      <c r="D227">
        <v>13</v>
      </c>
      <c r="E227">
        <v>34</v>
      </c>
      <c r="F227">
        <v>68</v>
      </c>
      <c r="G227">
        <v>1078</v>
      </c>
      <c r="H227">
        <v>9</v>
      </c>
      <c r="I227" s="1">
        <v>45152</v>
      </c>
      <c r="J227" s="7">
        <f>Table1[[#This Row],[Required_Qty]]-Table1[[#This Row],[Available_Qty]]</f>
        <v>-21</v>
      </c>
      <c r="K227" s="7">
        <v>21</v>
      </c>
      <c r="L227" s="7">
        <f>IF(Table1[[#This Row],[Required_Qty]]&gt;Table1[[#This Row],[Available_Qty]],Table1[[#This Row],[Required_Qty]]-Table1[[#This Row],[Available_Qty]],0)</f>
        <v>0</v>
      </c>
      <c r="M227" s="7">
        <f>IF(Table1[[#This Row],[Required_Qty]]&lt;Table1[[#This Row],[Available_Qty]],Table1[[#This Row],[Available_Qty]]-Table1[[#This Row],[Required_Qty]],0)</f>
        <v>21</v>
      </c>
      <c r="N227">
        <v>73304</v>
      </c>
      <c r="O227" s="7">
        <f>IF(AND(Table1[[#This Row],[Clean_Shortage]]&gt;0,Table1[[#This Row],[Lead_Time_Days]]&gt;10),1,0)</f>
        <v>0</v>
      </c>
    </row>
    <row r="228" spans="1:15" hidden="1" x14ac:dyDescent="0.3">
      <c r="A228" t="s">
        <v>238</v>
      </c>
      <c r="B228" t="s">
        <v>514</v>
      </c>
      <c r="C228" t="s">
        <v>517</v>
      </c>
      <c r="D228">
        <v>98</v>
      </c>
      <c r="E228">
        <v>17</v>
      </c>
      <c r="F228">
        <v>37</v>
      </c>
      <c r="G228">
        <v>9080</v>
      </c>
      <c r="H228">
        <v>5</v>
      </c>
      <c r="I228" s="1">
        <v>45153</v>
      </c>
      <c r="J228" s="7">
        <f>Table1[[#This Row],[Required_Qty]]-Table1[[#This Row],[Available_Qty]]</f>
        <v>81</v>
      </c>
      <c r="K228" s="7">
        <v>-81</v>
      </c>
      <c r="L228" s="7">
        <f>IF(Table1[[#This Row],[Required_Qty]]&gt;Table1[[#This Row],[Available_Qty]],Table1[[#This Row],[Required_Qty]]-Table1[[#This Row],[Available_Qty]],0)</f>
        <v>81</v>
      </c>
      <c r="M228" s="7">
        <f>IF(Table1[[#This Row],[Required_Qty]]&lt;Table1[[#This Row],[Available_Qty]],Table1[[#This Row],[Available_Qty]]-Table1[[#This Row],[Required_Qty]],0)</f>
        <v>0</v>
      </c>
      <c r="N228">
        <v>335960</v>
      </c>
      <c r="O228" s="7">
        <f>IF(AND(Table1[[#This Row],[Clean_Shortage]]&gt;0,Table1[[#This Row],[Lead_Time_Days]]&gt;10),1,0)</f>
        <v>0</v>
      </c>
    </row>
    <row r="229" spans="1:15" hidden="1" x14ac:dyDescent="0.3">
      <c r="A229" t="s">
        <v>239</v>
      </c>
      <c r="B229" t="s">
        <v>515</v>
      </c>
      <c r="C229" t="s">
        <v>518</v>
      </c>
      <c r="D229">
        <v>51</v>
      </c>
      <c r="E229">
        <v>17</v>
      </c>
      <c r="F229">
        <v>40</v>
      </c>
      <c r="G229">
        <v>8099</v>
      </c>
      <c r="H229">
        <v>5</v>
      </c>
      <c r="I229" s="1">
        <v>45154</v>
      </c>
      <c r="J229" s="7">
        <f>Table1[[#This Row],[Required_Qty]]-Table1[[#This Row],[Available_Qty]]</f>
        <v>34</v>
      </c>
      <c r="K229" s="7">
        <v>-34</v>
      </c>
      <c r="L229" s="7">
        <f>IF(Table1[[#This Row],[Required_Qty]]&gt;Table1[[#This Row],[Available_Qty]],Table1[[#This Row],[Required_Qty]]-Table1[[#This Row],[Available_Qty]],0)</f>
        <v>34</v>
      </c>
      <c r="M229" s="7">
        <f>IF(Table1[[#This Row],[Required_Qty]]&lt;Table1[[#This Row],[Available_Qty]],Table1[[#This Row],[Available_Qty]]-Table1[[#This Row],[Required_Qty]],0)</f>
        <v>0</v>
      </c>
      <c r="N229">
        <v>323960</v>
      </c>
      <c r="O229" s="7">
        <f>IF(AND(Table1[[#This Row],[Clean_Shortage]]&gt;0,Table1[[#This Row],[Lead_Time_Days]]&gt;10),1,0)</f>
        <v>0</v>
      </c>
    </row>
    <row r="230" spans="1:15" x14ac:dyDescent="0.3">
      <c r="A230" t="s">
        <v>240</v>
      </c>
      <c r="B230" t="s">
        <v>514</v>
      </c>
      <c r="C230" t="s">
        <v>517</v>
      </c>
      <c r="D230">
        <v>98</v>
      </c>
      <c r="E230">
        <v>22</v>
      </c>
      <c r="F230">
        <v>61</v>
      </c>
      <c r="G230">
        <v>4926</v>
      </c>
      <c r="H230">
        <v>14</v>
      </c>
      <c r="I230" s="1">
        <v>45155</v>
      </c>
      <c r="J230" s="7">
        <f>Table1[[#This Row],[Required_Qty]]-Table1[[#This Row],[Available_Qty]]</f>
        <v>76</v>
      </c>
      <c r="K230" s="7">
        <v>-76</v>
      </c>
      <c r="L230" s="7">
        <f>IF(Table1[[#This Row],[Required_Qty]]&gt;Table1[[#This Row],[Available_Qty]],Table1[[#This Row],[Required_Qty]]-Table1[[#This Row],[Available_Qty]],0)</f>
        <v>76</v>
      </c>
      <c r="M230" s="7">
        <f>IF(Table1[[#This Row],[Required_Qty]]&lt;Table1[[#This Row],[Available_Qty]],Table1[[#This Row],[Available_Qty]]-Table1[[#This Row],[Required_Qty]],0)</f>
        <v>0</v>
      </c>
      <c r="N230">
        <v>300486</v>
      </c>
      <c r="O230" s="7">
        <f>IF(AND(Table1[[#This Row],[Clean_Shortage]]&gt;0,Table1[[#This Row],[Lead_Time_Days]]&gt;10),1,0)</f>
        <v>1</v>
      </c>
    </row>
    <row r="231" spans="1:15" hidden="1" x14ac:dyDescent="0.3">
      <c r="A231" t="s">
        <v>241</v>
      </c>
      <c r="B231" t="s">
        <v>514</v>
      </c>
      <c r="C231" t="s">
        <v>516</v>
      </c>
      <c r="D231">
        <v>27</v>
      </c>
      <c r="E231">
        <v>36</v>
      </c>
      <c r="F231">
        <v>59</v>
      </c>
      <c r="G231">
        <v>8340</v>
      </c>
      <c r="H231">
        <v>4</v>
      </c>
      <c r="I231" s="1">
        <v>45156</v>
      </c>
      <c r="J231" s="7">
        <f>Table1[[#This Row],[Required_Qty]]-Table1[[#This Row],[Available_Qty]]</f>
        <v>-9</v>
      </c>
      <c r="K231" s="7">
        <v>9</v>
      </c>
      <c r="L231" s="7">
        <f>IF(Table1[[#This Row],[Required_Qty]]&gt;Table1[[#This Row],[Available_Qty]],Table1[[#This Row],[Required_Qty]]-Table1[[#This Row],[Available_Qty]],0)</f>
        <v>0</v>
      </c>
      <c r="M231" s="7">
        <f>IF(Table1[[#This Row],[Required_Qty]]&lt;Table1[[#This Row],[Available_Qty]],Table1[[#This Row],[Available_Qty]]-Table1[[#This Row],[Required_Qty]],0)</f>
        <v>9</v>
      </c>
      <c r="N231">
        <v>492060</v>
      </c>
      <c r="O231" s="7">
        <f>IF(AND(Table1[[#This Row],[Clean_Shortage]]&gt;0,Table1[[#This Row],[Lead_Time_Days]]&gt;10),1,0)</f>
        <v>0</v>
      </c>
    </row>
    <row r="232" spans="1:15" hidden="1" x14ac:dyDescent="0.3">
      <c r="A232" t="s">
        <v>242</v>
      </c>
      <c r="B232" t="s">
        <v>515</v>
      </c>
      <c r="C232" t="s">
        <v>516</v>
      </c>
      <c r="D232">
        <v>49</v>
      </c>
      <c r="E232">
        <v>100</v>
      </c>
      <c r="F232">
        <v>13</v>
      </c>
      <c r="G232">
        <v>8083</v>
      </c>
      <c r="H232">
        <v>14</v>
      </c>
      <c r="I232" s="1">
        <v>45157</v>
      </c>
      <c r="J232" s="7">
        <f>Table1[[#This Row],[Required_Qty]]-Table1[[#This Row],[Available_Qty]]</f>
        <v>-51</v>
      </c>
      <c r="K232" s="7">
        <v>51</v>
      </c>
      <c r="L232" s="7">
        <f>IF(Table1[[#This Row],[Required_Qty]]&gt;Table1[[#This Row],[Available_Qty]],Table1[[#This Row],[Required_Qty]]-Table1[[#This Row],[Available_Qty]],0)</f>
        <v>0</v>
      </c>
      <c r="M232" s="7">
        <f>IF(Table1[[#This Row],[Required_Qty]]&lt;Table1[[#This Row],[Available_Qty]],Table1[[#This Row],[Available_Qty]]-Table1[[#This Row],[Required_Qty]],0)</f>
        <v>51</v>
      </c>
      <c r="N232">
        <v>105079</v>
      </c>
      <c r="O232" s="7">
        <f>IF(AND(Table1[[#This Row],[Clean_Shortage]]&gt;0,Table1[[#This Row],[Lead_Time_Days]]&gt;10),1,0)</f>
        <v>0</v>
      </c>
    </row>
    <row r="233" spans="1:15" hidden="1" x14ac:dyDescent="0.3">
      <c r="A233" t="s">
        <v>243</v>
      </c>
      <c r="B233" t="s">
        <v>513</v>
      </c>
      <c r="C233" t="s">
        <v>517</v>
      </c>
      <c r="D233">
        <v>81</v>
      </c>
      <c r="E233">
        <v>103</v>
      </c>
      <c r="F233">
        <v>1</v>
      </c>
      <c r="G233">
        <v>7230</v>
      </c>
      <c r="H233">
        <v>4</v>
      </c>
      <c r="I233" s="1">
        <v>45158</v>
      </c>
      <c r="J233" s="7">
        <f>Table1[[#This Row],[Required_Qty]]-Table1[[#This Row],[Available_Qty]]</f>
        <v>-22</v>
      </c>
      <c r="K233" s="7">
        <v>22</v>
      </c>
      <c r="L233" s="7">
        <f>IF(Table1[[#This Row],[Required_Qty]]&gt;Table1[[#This Row],[Available_Qty]],Table1[[#This Row],[Required_Qty]]-Table1[[#This Row],[Available_Qty]],0)</f>
        <v>0</v>
      </c>
      <c r="M233" s="7">
        <f>IF(Table1[[#This Row],[Required_Qty]]&lt;Table1[[#This Row],[Available_Qty]],Table1[[#This Row],[Available_Qty]]-Table1[[#This Row],[Required_Qty]],0)</f>
        <v>22</v>
      </c>
      <c r="N233">
        <v>7230</v>
      </c>
      <c r="O233" s="7">
        <f>IF(AND(Table1[[#This Row],[Clean_Shortage]]&gt;0,Table1[[#This Row],[Lead_Time_Days]]&gt;10),1,0)</f>
        <v>0</v>
      </c>
    </row>
    <row r="234" spans="1:15" x14ac:dyDescent="0.3">
      <c r="A234" t="s">
        <v>244</v>
      </c>
      <c r="B234" t="s">
        <v>513</v>
      </c>
      <c r="C234" t="s">
        <v>517</v>
      </c>
      <c r="D234">
        <v>48</v>
      </c>
      <c r="E234">
        <v>43</v>
      </c>
      <c r="F234">
        <v>69</v>
      </c>
      <c r="G234">
        <v>5940</v>
      </c>
      <c r="H234">
        <v>12</v>
      </c>
      <c r="I234" s="1">
        <v>45159</v>
      </c>
      <c r="J234" s="7">
        <f>Table1[[#This Row],[Required_Qty]]-Table1[[#This Row],[Available_Qty]]</f>
        <v>5</v>
      </c>
      <c r="K234" s="7">
        <v>-5</v>
      </c>
      <c r="L234" s="7">
        <f>IF(Table1[[#This Row],[Required_Qty]]&gt;Table1[[#This Row],[Available_Qty]],Table1[[#This Row],[Required_Qty]]-Table1[[#This Row],[Available_Qty]],0)</f>
        <v>5</v>
      </c>
      <c r="M234" s="7">
        <f>IF(Table1[[#This Row],[Required_Qty]]&lt;Table1[[#This Row],[Available_Qty]],Table1[[#This Row],[Available_Qty]]-Table1[[#This Row],[Required_Qty]],0)</f>
        <v>0</v>
      </c>
      <c r="N234">
        <v>409860</v>
      </c>
      <c r="O234" s="7">
        <f>IF(AND(Table1[[#This Row],[Clean_Shortage]]&gt;0,Table1[[#This Row],[Lead_Time_Days]]&gt;10),1,0)</f>
        <v>1</v>
      </c>
    </row>
    <row r="235" spans="1:15" hidden="1" x14ac:dyDescent="0.3">
      <c r="A235" t="s">
        <v>245</v>
      </c>
      <c r="B235" t="s">
        <v>513</v>
      </c>
      <c r="C235" t="s">
        <v>517</v>
      </c>
      <c r="D235">
        <v>23</v>
      </c>
      <c r="E235">
        <v>50</v>
      </c>
      <c r="F235">
        <v>16</v>
      </c>
      <c r="G235">
        <v>4271</v>
      </c>
      <c r="H235">
        <v>1</v>
      </c>
      <c r="I235" s="1">
        <v>45160</v>
      </c>
      <c r="J235" s="7">
        <f>Table1[[#This Row],[Required_Qty]]-Table1[[#This Row],[Available_Qty]]</f>
        <v>-27</v>
      </c>
      <c r="K235" s="7">
        <v>27</v>
      </c>
      <c r="L235" s="7">
        <f>IF(Table1[[#This Row],[Required_Qty]]&gt;Table1[[#This Row],[Available_Qty]],Table1[[#This Row],[Required_Qty]]-Table1[[#This Row],[Available_Qty]],0)</f>
        <v>0</v>
      </c>
      <c r="M235" s="7">
        <f>IF(Table1[[#This Row],[Required_Qty]]&lt;Table1[[#This Row],[Available_Qty]],Table1[[#This Row],[Available_Qty]]-Table1[[#This Row],[Required_Qty]],0)</f>
        <v>27</v>
      </c>
      <c r="N235">
        <v>68336</v>
      </c>
      <c r="O235" s="7">
        <f>IF(AND(Table1[[#This Row],[Clean_Shortage]]&gt;0,Table1[[#This Row],[Lead_Time_Days]]&gt;10),1,0)</f>
        <v>0</v>
      </c>
    </row>
    <row r="236" spans="1:15" hidden="1" x14ac:dyDescent="0.3">
      <c r="A236" t="s">
        <v>246</v>
      </c>
      <c r="B236" t="s">
        <v>513</v>
      </c>
      <c r="C236" t="s">
        <v>516</v>
      </c>
      <c r="D236">
        <v>41</v>
      </c>
      <c r="E236">
        <v>33</v>
      </c>
      <c r="F236">
        <v>27</v>
      </c>
      <c r="G236">
        <v>4456</v>
      </c>
      <c r="H236">
        <v>7</v>
      </c>
      <c r="I236" s="1">
        <v>45161</v>
      </c>
      <c r="J236" s="7">
        <f>Table1[[#This Row],[Required_Qty]]-Table1[[#This Row],[Available_Qty]]</f>
        <v>8</v>
      </c>
      <c r="K236" s="7">
        <v>-8</v>
      </c>
      <c r="L236" s="7">
        <f>IF(Table1[[#This Row],[Required_Qty]]&gt;Table1[[#This Row],[Available_Qty]],Table1[[#This Row],[Required_Qty]]-Table1[[#This Row],[Available_Qty]],0)</f>
        <v>8</v>
      </c>
      <c r="M236" s="7">
        <f>IF(Table1[[#This Row],[Required_Qty]]&lt;Table1[[#This Row],[Available_Qty]],Table1[[#This Row],[Available_Qty]]-Table1[[#This Row],[Required_Qty]],0)</f>
        <v>0</v>
      </c>
      <c r="N236">
        <v>120312</v>
      </c>
      <c r="O236" s="7">
        <f>IF(AND(Table1[[#This Row],[Clean_Shortage]]&gt;0,Table1[[#This Row],[Lead_Time_Days]]&gt;10),1,0)</f>
        <v>0</v>
      </c>
    </row>
    <row r="237" spans="1:15" hidden="1" x14ac:dyDescent="0.3">
      <c r="A237" t="s">
        <v>247</v>
      </c>
      <c r="B237" t="s">
        <v>513</v>
      </c>
      <c r="C237" t="s">
        <v>517</v>
      </c>
      <c r="D237">
        <v>60</v>
      </c>
      <c r="E237">
        <v>66</v>
      </c>
      <c r="F237">
        <v>65</v>
      </c>
      <c r="G237">
        <v>8788</v>
      </c>
      <c r="H237">
        <v>9</v>
      </c>
      <c r="I237" s="1">
        <v>45162</v>
      </c>
      <c r="J237" s="7">
        <f>Table1[[#This Row],[Required_Qty]]-Table1[[#This Row],[Available_Qty]]</f>
        <v>-6</v>
      </c>
      <c r="K237" s="7">
        <v>6</v>
      </c>
      <c r="L237" s="7">
        <f>IF(Table1[[#This Row],[Required_Qty]]&gt;Table1[[#This Row],[Available_Qty]],Table1[[#This Row],[Required_Qty]]-Table1[[#This Row],[Available_Qty]],0)</f>
        <v>0</v>
      </c>
      <c r="M237" s="7">
        <f>IF(Table1[[#This Row],[Required_Qty]]&lt;Table1[[#This Row],[Available_Qty]],Table1[[#This Row],[Available_Qty]]-Table1[[#This Row],[Required_Qty]],0)</f>
        <v>6</v>
      </c>
      <c r="N237">
        <v>571220</v>
      </c>
      <c r="O237" s="7">
        <f>IF(AND(Table1[[#This Row],[Clean_Shortage]]&gt;0,Table1[[#This Row],[Lead_Time_Days]]&gt;10),1,0)</f>
        <v>0</v>
      </c>
    </row>
    <row r="238" spans="1:15" hidden="1" x14ac:dyDescent="0.3">
      <c r="A238" t="s">
        <v>248</v>
      </c>
      <c r="B238" t="s">
        <v>515</v>
      </c>
      <c r="C238" t="s">
        <v>516</v>
      </c>
      <c r="D238">
        <v>47</v>
      </c>
      <c r="E238">
        <v>117</v>
      </c>
      <c r="F238">
        <v>34</v>
      </c>
      <c r="G238">
        <v>9599</v>
      </c>
      <c r="H238">
        <v>3</v>
      </c>
      <c r="I238" s="1">
        <v>45163</v>
      </c>
      <c r="J238" s="7">
        <f>Table1[[#This Row],[Required_Qty]]-Table1[[#This Row],[Available_Qty]]</f>
        <v>-70</v>
      </c>
      <c r="K238" s="7">
        <v>70</v>
      </c>
      <c r="L238" s="7">
        <f>IF(Table1[[#This Row],[Required_Qty]]&gt;Table1[[#This Row],[Available_Qty]],Table1[[#This Row],[Required_Qty]]-Table1[[#This Row],[Available_Qty]],0)</f>
        <v>0</v>
      </c>
      <c r="M238" s="7">
        <f>IF(Table1[[#This Row],[Required_Qty]]&lt;Table1[[#This Row],[Available_Qty]],Table1[[#This Row],[Available_Qty]]-Table1[[#This Row],[Required_Qty]],0)</f>
        <v>70</v>
      </c>
      <c r="N238">
        <v>326366</v>
      </c>
      <c r="O238" s="7">
        <f>IF(AND(Table1[[#This Row],[Clean_Shortage]]&gt;0,Table1[[#This Row],[Lead_Time_Days]]&gt;10),1,0)</f>
        <v>0</v>
      </c>
    </row>
    <row r="239" spans="1:15" hidden="1" x14ac:dyDescent="0.3">
      <c r="A239" t="s">
        <v>249</v>
      </c>
      <c r="B239" t="s">
        <v>515</v>
      </c>
      <c r="C239" t="s">
        <v>518</v>
      </c>
      <c r="D239">
        <v>32</v>
      </c>
      <c r="E239">
        <v>97</v>
      </c>
      <c r="F239">
        <v>4</v>
      </c>
      <c r="G239">
        <v>8650</v>
      </c>
      <c r="H239">
        <v>12</v>
      </c>
      <c r="I239" s="1">
        <v>45164</v>
      </c>
      <c r="J239" s="7">
        <f>Table1[[#This Row],[Required_Qty]]-Table1[[#This Row],[Available_Qty]]</f>
        <v>-65</v>
      </c>
      <c r="K239" s="7">
        <v>65</v>
      </c>
      <c r="L239" s="7">
        <f>IF(Table1[[#This Row],[Required_Qty]]&gt;Table1[[#This Row],[Available_Qty]],Table1[[#This Row],[Required_Qty]]-Table1[[#This Row],[Available_Qty]],0)</f>
        <v>0</v>
      </c>
      <c r="M239" s="7">
        <f>IF(Table1[[#This Row],[Required_Qty]]&lt;Table1[[#This Row],[Available_Qty]],Table1[[#This Row],[Available_Qty]]-Table1[[#This Row],[Required_Qty]],0)</f>
        <v>65</v>
      </c>
      <c r="N239">
        <v>34600</v>
      </c>
      <c r="O239" s="7">
        <f>IF(AND(Table1[[#This Row],[Clean_Shortage]]&gt;0,Table1[[#This Row],[Lead_Time_Days]]&gt;10),1,0)</f>
        <v>0</v>
      </c>
    </row>
    <row r="240" spans="1:15" x14ac:dyDescent="0.3">
      <c r="A240" t="s">
        <v>250</v>
      </c>
      <c r="B240" t="s">
        <v>512</v>
      </c>
      <c r="C240" t="s">
        <v>516</v>
      </c>
      <c r="D240">
        <v>72</v>
      </c>
      <c r="E240">
        <v>66</v>
      </c>
      <c r="F240">
        <v>64</v>
      </c>
      <c r="G240">
        <v>3711</v>
      </c>
      <c r="H240">
        <v>13</v>
      </c>
      <c r="I240" s="1">
        <v>45165</v>
      </c>
      <c r="J240" s="7">
        <f>Table1[[#This Row],[Required_Qty]]-Table1[[#This Row],[Available_Qty]]</f>
        <v>6</v>
      </c>
      <c r="K240" s="7">
        <v>-6</v>
      </c>
      <c r="L240" s="7">
        <f>IF(Table1[[#This Row],[Required_Qty]]&gt;Table1[[#This Row],[Available_Qty]],Table1[[#This Row],[Required_Qty]]-Table1[[#This Row],[Available_Qty]],0)</f>
        <v>6</v>
      </c>
      <c r="M240" s="7">
        <f>IF(Table1[[#This Row],[Required_Qty]]&lt;Table1[[#This Row],[Available_Qty]],Table1[[#This Row],[Available_Qty]]-Table1[[#This Row],[Required_Qty]],0)</f>
        <v>0</v>
      </c>
      <c r="N240">
        <v>237504</v>
      </c>
      <c r="O240" s="7">
        <f>IF(AND(Table1[[#This Row],[Clean_Shortage]]&gt;0,Table1[[#This Row],[Lead_Time_Days]]&gt;10),1,0)</f>
        <v>1</v>
      </c>
    </row>
    <row r="241" spans="1:15" hidden="1" x14ac:dyDescent="0.3">
      <c r="A241" t="s">
        <v>251</v>
      </c>
      <c r="B241" t="s">
        <v>513</v>
      </c>
      <c r="C241" t="s">
        <v>516</v>
      </c>
      <c r="D241">
        <v>24</v>
      </c>
      <c r="E241">
        <v>112</v>
      </c>
      <c r="F241">
        <v>39</v>
      </c>
      <c r="G241">
        <v>2668</v>
      </c>
      <c r="H241">
        <v>2</v>
      </c>
      <c r="I241" s="1">
        <v>45166</v>
      </c>
      <c r="J241" s="7">
        <f>Table1[[#This Row],[Required_Qty]]-Table1[[#This Row],[Available_Qty]]</f>
        <v>-88</v>
      </c>
      <c r="K241" s="7">
        <v>88</v>
      </c>
      <c r="L241" s="7">
        <f>IF(Table1[[#This Row],[Required_Qty]]&gt;Table1[[#This Row],[Available_Qty]],Table1[[#This Row],[Required_Qty]]-Table1[[#This Row],[Available_Qty]],0)</f>
        <v>0</v>
      </c>
      <c r="M241" s="7">
        <f>IF(Table1[[#This Row],[Required_Qty]]&lt;Table1[[#This Row],[Available_Qty]],Table1[[#This Row],[Available_Qty]]-Table1[[#This Row],[Required_Qty]],0)</f>
        <v>88</v>
      </c>
      <c r="N241">
        <v>104052</v>
      </c>
      <c r="O241" s="7">
        <f>IF(AND(Table1[[#This Row],[Clean_Shortage]]&gt;0,Table1[[#This Row],[Lead_Time_Days]]&gt;10),1,0)</f>
        <v>0</v>
      </c>
    </row>
    <row r="242" spans="1:15" hidden="1" x14ac:dyDescent="0.3">
      <c r="A242" t="s">
        <v>252</v>
      </c>
      <c r="B242" t="s">
        <v>515</v>
      </c>
      <c r="C242" t="s">
        <v>518</v>
      </c>
      <c r="D242">
        <v>34</v>
      </c>
      <c r="E242">
        <v>61</v>
      </c>
      <c r="F242">
        <v>75</v>
      </c>
      <c r="G242">
        <v>1147</v>
      </c>
      <c r="H242">
        <v>3</v>
      </c>
      <c r="I242" s="1">
        <v>45167</v>
      </c>
      <c r="J242" s="7">
        <f>Table1[[#This Row],[Required_Qty]]-Table1[[#This Row],[Available_Qty]]</f>
        <v>-27</v>
      </c>
      <c r="K242" s="7">
        <v>27</v>
      </c>
      <c r="L242" s="7">
        <f>IF(Table1[[#This Row],[Required_Qty]]&gt;Table1[[#This Row],[Available_Qty]],Table1[[#This Row],[Required_Qty]]-Table1[[#This Row],[Available_Qty]],0)</f>
        <v>0</v>
      </c>
      <c r="M242" s="7">
        <f>IF(Table1[[#This Row],[Required_Qty]]&lt;Table1[[#This Row],[Available_Qty]],Table1[[#This Row],[Available_Qty]]-Table1[[#This Row],[Required_Qty]],0)</f>
        <v>27</v>
      </c>
      <c r="N242">
        <v>86025</v>
      </c>
      <c r="O242" s="7">
        <f>IF(AND(Table1[[#This Row],[Clean_Shortage]]&gt;0,Table1[[#This Row],[Lead_Time_Days]]&gt;10),1,0)</f>
        <v>0</v>
      </c>
    </row>
    <row r="243" spans="1:15" hidden="1" x14ac:dyDescent="0.3">
      <c r="A243" t="s">
        <v>253</v>
      </c>
      <c r="B243" t="s">
        <v>512</v>
      </c>
      <c r="C243" t="s">
        <v>516</v>
      </c>
      <c r="D243">
        <v>26</v>
      </c>
      <c r="E243">
        <v>20</v>
      </c>
      <c r="F243">
        <v>55</v>
      </c>
      <c r="G243">
        <v>7420</v>
      </c>
      <c r="H243">
        <v>1</v>
      </c>
      <c r="I243" s="1">
        <v>45168</v>
      </c>
      <c r="J243" s="7">
        <f>Table1[[#This Row],[Required_Qty]]-Table1[[#This Row],[Available_Qty]]</f>
        <v>6</v>
      </c>
      <c r="K243" s="7">
        <v>-6</v>
      </c>
      <c r="L243" s="7">
        <f>IF(Table1[[#This Row],[Required_Qty]]&gt;Table1[[#This Row],[Available_Qty]],Table1[[#This Row],[Required_Qty]]-Table1[[#This Row],[Available_Qty]],0)</f>
        <v>6</v>
      </c>
      <c r="M243" s="7">
        <f>IF(Table1[[#This Row],[Required_Qty]]&lt;Table1[[#This Row],[Available_Qty]],Table1[[#This Row],[Available_Qty]]-Table1[[#This Row],[Required_Qty]],0)</f>
        <v>0</v>
      </c>
      <c r="N243">
        <v>408100</v>
      </c>
      <c r="O243" s="7">
        <f>IF(AND(Table1[[#This Row],[Clean_Shortage]]&gt;0,Table1[[#This Row],[Lead_Time_Days]]&gt;10),1,0)</f>
        <v>0</v>
      </c>
    </row>
    <row r="244" spans="1:15" hidden="1" x14ac:dyDescent="0.3">
      <c r="A244" t="s">
        <v>254</v>
      </c>
      <c r="B244" t="s">
        <v>513</v>
      </c>
      <c r="C244" t="s">
        <v>517</v>
      </c>
      <c r="D244">
        <v>75</v>
      </c>
      <c r="E244">
        <v>60</v>
      </c>
      <c r="F244">
        <v>35</v>
      </c>
      <c r="G244">
        <v>1365</v>
      </c>
      <c r="H244">
        <v>6</v>
      </c>
      <c r="I244" s="1">
        <v>45169</v>
      </c>
      <c r="J244" s="7">
        <f>Table1[[#This Row],[Required_Qty]]-Table1[[#This Row],[Available_Qty]]</f>
        <v>15</v>
      </c>
      <c r="K244" s="7">
        <v>-15</v>
      </c>
      <c r="L244" s="7">
        <f>IF(Table1[[#This Row],[Required_Qty]]&gt;Table1[[#This Row],[Available_Qty]],Table1[[#This Row],[Required_Qty]]-Table1[[#This Row],[Available_Qty]],0)</f>
        <v>15</v>
      </c>
      <c r="M244" s="7">
        <f>IF(Table1[[#This Row],[Required_Qty]]&lt;Table1[[#This Row],[Available_Qty]],Table1[[#This Row],[Available_Qty]]-Table1[[#This Row],[Required_Qty]],0)</f>
        <v>0</v>
      </c>
      <c r="N244">
        <v>47775</v>
      </c>
      <c r="O244" s="7">
        <f>IF(AND(Table1[[#This Row],[Clean_Shortage]]&gt;0,Table1[[#This Row],[Lead_Time_Days]]&gt;10),1,0)</f>
        <v>0</v>
      </c>
    </row>
    <row r="245" spans="1:15" hidden="1" x14ac:dyDescent="0.3">
      <c r="A245" t="s">
        <v>255</v>
      </c>
      <c r="B245" t="s">
        <v>514</v>
      </c>
      <c r="C245" t="s">
        <v>517</v>
      </c>
      <c r="D245">
        <v>87</v>
      </c>
      <c r="E245">
        <v>112</v>
      </c>
      <c r="F245">
        <v>44</v>
      </c>
      <c r="G245">
        <v>5531</v>
      </c>
      <c r="H245">
        <v>11</v>
      </c>
      <c r="I245" s="1">
        <v>45170</v>
      </c>
      <c r="J245" s="7">
        <f>Table1[[#This Row],[Required_Qty]]-Table1[[#This Row],[Available_Qty]]</f>
        <v>-25</v>
      </c>
      <c r="K245" s="7">
        <v>25</v>
      </c>
      <c r="L245" s="7">
        <f>IF(Table1[[#This Row],[Required_Qty]]&gt;Table1[[#This Row],[Available_Qty]],Table1[[#This Row],[Required_Qty]]-Table1[[#This Row],[Available_Qty]],0)</f>
        <v>0</v>
      </c>
      <c r="M245" s="7">
        <f>IF(Table1[[#This Row],[Required_Qty]]&lt;Table1[[#This Row],[Available_Qty]],Table1[[#This Row],[Available_Qty]]-Table1[[#This Row],[Required_Qty]],0)</f>
        <v>25</v>
      </c>
      <c r="N245">
        <v>243364</v>
      </c>
      <c r="O245" s="7">
        <f>IF(AND(Table1[[#This Row],[Clean_Shortage]]&gt;0,Table1[[#This Row],[Lead_Time_Days]]&gt;10),1,0)</f>
        <v>0</v>
      </c>
    </row>
    <row r="246" spans="1:15" hidden="1" x14ac:dyDescent="0.3">
      <c r="A246" t="s">
        <v>256</v>
      </c>
      <c r="B246" t="s">
        <v>512</v>
      </c>
      <c r="C246" t="s">
        <v>516</v>
      </c>
      <c r="D246">
        <v>62</v>
      </c>
      <c r="E246">
        <v>115</v>
      </c>
      <c r="F246">
        <v>22</v>
      </c>
      <c r="G246">
        <v>6330</v>
      </c>
      <c r="H246">
        <v>11</v>
      </c>
      <c r="I246" s="1">
        <v>45171</v>
      </c>
      <c r="J246" s="7">
        <f>Table1[[#This Row],[Required_Qty]]-Table1[[#This Row],[Available_Qty]]</f>
        <v>-53</v>
      </c>
      <c r="K246" s="7">
        <v>53</v>
      </c>
      <c r="L246" s="7">
        <f>IF(Table1[[#This Row],[Required_Qty]]&gt;Table1[[#This Row],[Available_Qty]],Table1[[#This Row],[Required_Qty]]-Table1[[#This Row],[Available_Qty]],0)</f>
        <v>0</v>
      </c>
      <c r="M246" s="7">
        <f>IF(Table1[[#This Row],[Required_Qty]]&lt;Table1[[#This Row],[Available_Qty]],Table1[[#This Row],[Available_Qty]]-Table1[[#This Row],[Required_Qty]],0)</f>
        <v>53</v>
      </c>
      <c r="N246">
        <v>139260</v>
      </c>
      <c r="O246" s="7">
        <f>IF(AND(Table1[[#This Row],[Clean_Shortage]]&gt;0,Table1[[#This Row],[Lead_Time_Days]]&gt;10),1,0)</f>
        <v>0</v>
      </c>
    </row>
    <row r="247" spans="1:15" hidden="1" x14ac:dyDescent="0.3">
      <c r="A247" t="s">
        <v>257</v>
      </c>
      <c r="B247" t="s">
        <v>515</v>
      </c>
      <c r="C247" t="s">
        <v>517</v>
      </c>
      <c r="D247">
        <v>60</v>
      </c>
      <c r="E247">
        <v>14</v>
      </c>
      <c r="F247">
        <v>46</v>
      </c>
      <c r="G247">
        <v>6510</v>
      </c>
      <c r="H247">
        <v>7</v>
      </c>
      <c r="I247" s="1">
        <v>45172</v>
      </c>
      <c r="J247" s="7">
        <f>Table1[[#This Row],[Required_Qty]]-Table1[[#This Row],[Available_Qty]]</f>
        <v>46</v>
      </c>
      <c r="K247" s="7">
        <v>-46</v>
      </c>
      <c r="L247" s="7">
        <f>IF(Table1[[#This Row],[Required_Qty]]&gt;Table1[[#This Row],[Available_Qty]],Table1[[#This Row],[Required_Qty]]-Table1[[#This Row],[Available_Qty]],0)</f>
        <v>46</v>
      </c>
      <c r="M247" s="7">
        <f>IF(Table1[[#This Row],[Required_Qty]]&lt;Table1[[#This Row],[Available_Qty]],Table1[[#This Row],[Available_Qty]]-Table1[[#This Row],[Required_Qty]],0)</f>
        <v>0</v>
      </c>
      <c r="N247">
        <v>299460</v>
      </c>
      <c r="O247" s="7">
        <f>IF(AND(Table1[[#This Row],[Clean_Shortage]]&gt;0,Table1[[#This Row],[Lead_Time_Days]]&gt;10),1,0)</f>
        <v>0</v>
      </c>
    </row>
    <row r="248" spans="1:15" x14ac:dyDescent="0.3">
      <c r="A248" t="s">
        <v>258</v>
      </c>
      <c r="B248" t="s">
        <v>514</v>
      </c>
      <c r="C248" t="s">
        <v>516</v>
      </c>
      <c r="D248">
        <v>48</v>
      </c>
      <c r="E248">
        <v>34</v>
      </c>
      <c r="F248">
        <v>30</v>
      </c>
      <c r="G248">
        <v>9754</v>
      </c>
      <c r="H248">
        <v>11</v>
      </c>
      <c r="I248" s="1">
        <v>45173</v>
      </c>
      <c r="J248" s="7">
        <f>Table1[[#This Row],[Required_Qty]]-Table1[[#This Row],[Available_Qty]]</f>
        <v>14</v>
      </c>
      <c r="K248" s="7">
        <v>-14</v>
      </c>
      <c r="L248" s="7">
        <f>IF(Table1[[#This Row],[Required_Qty]]&gt;Table1[[#This Row],[Available_Qty]],Table1[[#This Row],[Required_Qty]]-Table1[[#This Row],[Available_Qty]],0)</f>
        <v>14</v>
      </c>
      <c r="M248" s="7">
        <f>IF(Table1[[#This Row],[Required_Qty]]&lt;Table1[[#This Row],[Available_Qty]],Table1[[#This Row],[Available_Qty]]-Table1[[#This Row],[Required_Qty]],0)</f>
        <v>0</v>
      </c>
      <c r="N248">
        <v>292620</v>
      </c>
      <c r="O248" s="7">
        <f>IF(AND(Table1[[#This Row],[Clean_Shortage]]&gt;0,Table1[[#This Row],[Lead_Time_Days]]&gt;10),1,0)</f>
        <v>1</v>
      </c>
    </row>
    <row r="249" spans="1:15" x14ac:dyDescent="0.3">
      <c r="A249" t="s">
        <v>259</v>
      </c>
      <c r="B249" t="s">
        <v>514</v>
      </c>
      <c r="C249" t="s">
        <v>517</v>
      </c>
      <c r="D249">
        <v>60</v>
      </c>
      <c r="E249">
        <v>29</v>
      </c>
      <c r="F249">
        <v>10</v>
      </c>
      <c r="G249">
        <v>9964</v>
      </c>
      <c r="H249">
        <v>11</v>
      </c>
      <c r="I249" s="1">
        <v>45174</v>
      </c>
      <c r="J249" s="7">
        <f>Table1[[#This Row],[Required_Qty]]-Table1[[#This Row],[Available_Qty]]</f>
        <v>31</v>
      </c>
      <c r="K249" s="7">
        <v>-31</v>
      </c>
      <c r="L249" s="7">
        <f>IF(Table1[[#This Row],[Required_Qty]]&gt;Table1[[#This Row],[Available_Qty]],Table1[[#This Row],[Required_Qty]]-Table1[[#This Row],[Available_Qty]],0)</f>
        <v>31</v>
      </c>
      <c r="M249" s="7">
        <f>IF(Table1[[#This Row],[Required_Qty]]&lt;Table1[[#This Row],[Available_Qty]],Table1[[#This Row],[Available_Qty]]-Table1[[#This Row],[Required_Qty]],0)</f>
        <v>0</v>
      </c>
      <c r="N249">
        <v>99640</v>
      </c>
      <c r="O249" s="7">
        <f>IF(AND(Table1[[#This Row],[Clean_Shortage]]&gt;0,Table1[[#This Row],[Lead_Time_Days]]&gt;10),1,0)</f>
        <v>1</v>
      </c>
    </row>
    <row r="250" spans="1:15" hidden="1" x14ac:dyDescent="0.3">
      <c r="A250" t="s">
        <v>260</v>
      </c>
      <c r="B250" t="s">
        <v>514</v>
      </c>
      <c r="C250" t="s">
        <v>517</v>
      </c>
      <c r="D250">
        <v>79</v>
      </c>
      <c r="E250">
        <v>107</v>
      </c>
      <c r="F250">
        <v>9</v>
      </c>
      <c r="G250">
        <v>7493</v>
      </c>
      <c r="H250">
        <v>2</v>
      </c>
      <c r="I250" s="1">
        <v>45175</v>
      </c>
      <c r="J250" s="7">
        <f>Table1[[#This Row],[Required_Qty]]-Table1[[#This Row],[Available_Qty]]</f>
        <v>-28</v>
      </c>
      <c r="K250" s="7">
        <v>28</v>
      </c>
      <c r="L250" s="7">
        <f>IF(Table1[[#This Row],[Required_Qty]]&gt;Table1[[#This Row],[Available_Qty]],Table1[[#This Row],[Required_Qty]]-Table1[[#This Row],[Available_Qty]],0)</f>
        <v>0</v>
      </c>
      <c r="M250" s="7">
        <f>IF(Table1[[#This Row],[Required_Qty]]&lt;Table1[[#This Row],[Available_Qty]],Table1[[#This Row],[Available_Qty]]-Table1[[#This Row],[Required_Qty]],0)</f>
        <v>28</v>
      </c>
      <c r="N250">
        <v>67437</v>
      </c>
      <c r="O250" s="7">
        <f>IF(AND(Table1[[#This Row],[Clean_Shortage]]&gt;0,Table1[[#This Row],[Lead_Time_Days]]&gt;10),1,0)</f>
        <v>0</v>
      </c>
    </row>
    <row r="251" spans="1:15" hidden="1" x14ac:dyDescent="0.3">
      <c r="A251" t="s">
        <v>261</v>
      </c>
      <c r="B251" t="s">
        <v>512</v>
      </c>
      <c r="C251" t="s">
        <v>516</v>
      </c>
      <c r="D251">
        <v>15</v>
      </c>
      <c r="E251">
        <v>88</v>
      </c>
      <c r="F251">
        <v>66</v>
      </c>
      <c r="G251">
        <v>6439</v>
      </c>
      <c r="H251">
        <v>8</v>
      </c>
      <c r="I251" s="1">
        <v>45176</v>
      </c>
      <c r="J251" s="7">
        <f>Table1[[#This Row],[Required_Qty]]-Table1[[#This Row],[Available_Qty]]</f>
        <v>-73</v>
      </c>
      <c r="K251" s="7">
        <v>73</v>
      </c>
      <c r="L251" s="7">
        <f>IF(Table1[[#This Row],[Required_Qty]]&gt;Table1[[#This Row],[Available_Qty]],Table1[[#This Row],[Required_Qty]]-Table1[[#This Row],[Available_Qty]],0)</f>
        <v>0</v>
      </c>
      <c r="M251" s="7">
        <f>IF(Table1[[#This Row],[Required_Qty]]&lt;Table1[[#This Row],[Available_Qty]],Table1[[#This Row],[Available_Qty]]-Table1[[#This Row],[Required_Qty]],0)</f>
        <v>73</v>
      </c>
      <c r="N251">
        <v>424974</v>
      </c>
      <c r="O251" s="7">
        <f>IF(AND(Table1[[#This Row],[Clean_Shortage]]&gt;0,Table1[[#This Row],[Lead_Time_Days]]&gt;10),1,0)</f>
        <v>0</v>
      </c>
    </row>
    <row r="252" spans="1:15" x14ac:dyDescent="0.3">
      <c r="A252" t="s">
        <v>262</v>
      </c>
      <c r="B252" t="s">
        <v>515</v>
      </c>
      <c r="C252" t="s">
        <v>517</v>
      </c>
      <c r="D252">
        <v>76</v>
      </c>
      <c r="E252">
        <v>9</v>
      </c>
      <c r="F252">
        <v>13</v>
      </c>
      <c r="G252">
        <v>7511</v>
      </c>
      <c r="H252">
        <v>14</v>
      </c>
      <c r="I252" s="1">
        <v>45177</v>
      </c>
      <c r="J252" s="7">
        <f>Table1[[#This Row],[Required_Qty]]-Table1[[#This Row],[Available_Qty]]</f>
        <v>67</v>
      </c>
      <c r="K252" s="7">
        <v>-67</v>
      </c>
      <c r="L252" s="7">
        <f>IF(Table1[[#This Row],[Required_Qty]]&gt;Table1[[#This Row],[Available_Qty]],Table1[[#This Row],[Required_Qty]]-Table1[[#This Row],[Available_Qty]],0)</f>
        <v>67</v>
      </c>
      <c r="M252" s="7">
        <f>IF(Table1[[#This Row],[Required_Qty]]&lt;Table1[[#This Row],[Available_Qty]],Table1[[#This Row],[Available_Qty]]-Table1[[#This Row],[Required_Qty]],0)</f>
        <v>0</v>
      </c>
      <c r="N252">
        <v>97643</v>
      </c>
      <c r="O252" s="7">
        <f>IF(AND(Table1[[#This Row],[Clean_Shortage]]&gt;0,Table1[[#This Row],[Lead_Time_Days]]&gt;10),1,0)</f>
        <v>1</v>
      </c>
    </row>
    <row r="253" spans="1:15" hidden="1" x14ac:dyDescent="0.3">
      <c r="A253" t="s">
        <v>263</v>
      </c>
      <c r="B253" t="s">
        <v>514</v>
      </c>
      <c r="C253" t="s">
        <v>516</v>
      </c>
      <c r="D253">
        <v>16</v>
      </c>
      <c r="E253">
        <v>69</v>
      </c>
      <c r="F253">
        <v>79</v>
      </c>
      <c r="G253">
        <v>8504</v>
      </c>
      <c r="H253">
        <v>6</v>
      </c>
      <c r="I253" s="1">
        <v>45178</v>
      </c>
      <c r="J253" s="7">
        <f>Table1[[#This Row],[Required_Qty]]-Table1[[#This Row],[Available_Qty]]</f>
        <v>-53</v>
      </c>
      <c r="K253" s="7">
        <v>53</v>
      </c>
      <c r="L253" s="7">
        <f>IF(Table1[[#This Row],[Required_Qty]]&gt;Table1[[#This Row],[Available_Qty]],Table1[[#This Row],[Required_Qty]]-Table1[[#This Row],[Available_Qty]],0)</f>
        <v>0</v>
      </c>
      <c r="M253" s="7">
        <f>IF(Table1[[#This Row],[Required_Qty]]&lt;Table1[[#This Row],[Available_Qty]],Table1[[#This Row],[Available_Qty]]-Table1[[#This Row],[Required_Qty]],0)</f>
        <v>53</v>
      </c>
      <c r="N253">
        <v>671816</v>
      </c>
      <c r="O253" s="7">
        <f>IF(AND(Table1[[#This Row],[Clean_Shortage]]&gt;0,Table1[[#This Row],[Lead_Time_Days]]&gt;10),1,0)</f>
        <v>0</v>
      </c>
    </row>
    <row r="254" spans="1:15" hidden="1" x14ac:dyDescent="0.3">
      <c r="A254" t="s">
        <v>264</v>
      </c>
      <c r="B254" t="s">
        <v>513</v>
      </c>
      <c r="C254" t="s">
        <v>517</v>
      </c>
      <c r="D254">
        <v>60</v>
      </c>
      <c r="E254">
        <v>98</v>
      </c>
      <c r="F254">
        <v>73</v>
      </c>
      <c r="G254">
        <v>2246</v>
      </c>
      <c r="H254">
        <v>14</v>
      </c>
      <c r="I254" s="1">
        <v>45179</v>
      </c>
      <c r="J254" s="7">
        <f>Table1[[#This Row],[Required_Qty]]-Table1[[#This Row],[Available_Qty]]</f>
        <v>-38</v>
      </c>
      <c r="K254" s="7">
        <v>38</v>
      </c>
      <c r="L254" s="7">
        <f>IF(Table1[[#This Row],[Required_Qty]]&gt;Table1[[#This Row],[Available_Qty]],Table1[[#This Row],[Required_Qty]]-Table1[[#This Row],[Available_Qty]],0)</f>
        <v>0</v>
      </c>
      <c r="M254" s="7">
        <f>IF(Table1[[#This Row],[Required_Qty]]&lt;Table1[[#This Row],[Available_Qty]],Table1[[#This Row],[Available_Qty]]-Table1[[#This Row],[Required_Qty]],0)</f>
        <v>38</v>
      </c>
      <c r="N254">
        <v>163958</v>
      </c>
      <c r="O254" s="7">
        <f>IF(AND(Table1[[#This Row],[Clean_Shortage]]&gt;0,Table1[[#This Row],[Lead_Time_Days]]&gt;10),1,0)</f>
        <v>0</v>
      </c>
    </row>
    <row r="255" spans="1:15" hidden="1" x14ac:dyDescent="0.3">
      <c r="A255" t="s">
        <v>265</v>
      </c>
      <c r="B255" t="s">
        <v>514</v>
      </c>
      <c r="C255" t="s">
        <v>517</v>
      </c>
      <c r="D255">
        <v>81</v>
      </c>
      <c r="E255">
        <v>53</v>
      </c>
      <c r="F255">
        <v>9</v>
      </c>
      <c r="G255">
        <v>4839</v>
      </c>
      <c r="H255">
        <v>4</v>
      </c>
      <c r="I255" s="1">
        <v>45180</v>
      </c>
      <c r="J255" s="7">
        <f>Table1[[#This Row],[Required_Qty]]-Table1[[#This Row],[Available_Qty]]</f>
        <v>28</v>
      </c>
      <c r="K255" s="7">
        <v>-28</v>
      </c>
      <c r="L255" s="7">
        <f>IF(Table1[[#This Row],[Required_Qty]]&gt;Table1[[#This Row],[Available_Qty]],Table1[[#This Row],[Required_Qty]]-Table1[[#This Row],[Available_Qty]],0)</f>
        <v>28</v>
      </c>
      <c r="M255" s="7">
        <f>IF(Table1[[#This Row],[Required_Qty]]&lt;Table1[[#This Row],[Available_Qty]],Table1[[#This Row],[Available_Qty]]-Table1[[#This Row],[Required_Qty]],0)</f>
        <v>0</v>
      </c>
      <c r="N255">
        <v>43551</v>
      </c>
      <c r="O255" s="7">
        <f>IF(AND(Table1[[#This Row],[Clean_Shortage]]&gt;0,Table1[[#This Row],[Lead_Time_Days]]&gt;10),1,0)</f>
        <v>0</v>
      </c>
    </row>
    <row r="256" spans="1:15" hidden="1" x14ac:dyDescent="0.3">
      <c r="A256" t="s">
        <v>266</v>
      </c>
      <c r="B256" t="s">
        <v>514</v>
      </c>
      <c r="C256" t="s">
        <v>518</v>
      </c>
      <c r="D256">
        <v>51</v>
      </c>
      <c r="E256">
        <v>7</v>
      </c>
      <c r="F256">
        <v>75</v>
      </c>
      <c r="G256">
        <v>9551</v>
      </c>
      <c r="H256">
        <v>5</v>
      </c>
      <c r="I256" s="1">
        <v>45181</v>
      </c>
      <c r="J256" s="7">
        <f>Table1[[#This Row],[Required_Qty]]-Table1[[#This Row],[Available_Qty]]</f>
        <v>44</v>
      </c>
      <c r="K256" s="7">
        <v>-44</v>
      </c>
      <c r="L256" s="7">
        <f>IF(Table1[[#This Row],[Required_Qty]]&gt;Table1[[#This Row],[Available_Qty]],Table1[[#This Row],[Required_Qty]]-Table1[[#This Row],[Available_Qty]],0)</f>
        <v>44</v>
      </c>
      <c r="M256" s="7">
        <f>IF(Table1[[#This Row],[Required_Qty]]&lt;Table1[[#This Row],[Available_Qty]],Table1[[#This Row],[Available_Qty]]-Table1[[#This Row],[Required_Qty]],0)</f>
        <v>0</v>
      </c>
      <c r="N256">
        <v>716325</v>
      </c>
      <c r="O256" s="7">
        <f>IF(AND(Table1[[#This Row],[Clean_Shortage]]&gt;0,Table1[[#This Row],[Lead_Time_Days]]&gt;10),1,0)</f>
        <v>0</v>
      </c>
    </row>
    <row r="257" spans="1:15" hidden="1" x14ac:dyDescent="0.3">
      <c r="A257" t="s">
        <v>267</v>
      </c>
      <c r="B257" t="s">
        <v>512</v>
      </c>
      <c r="C257" t="s">
        <v>518</v>
      </c>
      <c r="D257">
        <v>73</v>
      </c>
      <c r="E257">
        <v>49</v>
      </c>
      <c r="F257">
        <v>0</v>
      </c>
      <c r="G257">
        <v>3376</v>
      </c>
      <c r="H257">
        <v>8</v>
      </c>
      <c r="I257" s="1">
        <v>45182</v>
      </c>
      <c r="J257" s="7">
        <f>Table1[[#This Row],[Required_Qty]]-Table1[[#This Row],[Available_Qty]]</f>
        <v>24</v>
      </c>
      <c r="K257" s="7">
        <v>-24</v>
      </c>
      <c r="L257" s="7">
        <f>IF(Table1[[#This Row],[Required_Qty]]&gt;Table1[[#This Row],[Available_Qty]],Table1[[#This Row],[Required_Qty]]-Table1[[#This Row],[Available_Qty]],0)</f>
        <v>24</v>
      </c>
      <c r="M257" s="7">
        <f>IF(Table1[[#This Row],[Required_Qty]]&lt;Table1[[#This Row],[Available_Qty]],Table1[[#This Row],[Available_Qty]]-Table1[[#This Row],[Required_Qty]],0)</f>
        <v>0</v>
      </c>
      <c r="N257">
        <v>0</v>
      </c>
      <c r="O257" s="7">
        <f>IF(AND(Table1[[#This Row],[Clean_Shortage]]&gt;0,Table1[[#This Row],[Lead_Time_Days]]&gt;10),1,0)</f>
        <v>0</v>
      </c>
    </row>
    <row r="258" spans="1:15" x14ac:dyDescent="0.3">
      <c r="A258" t="s">
        <v>268</v>
      </c>
      <c r="B258" t="s">
        <v>512</v>
      </c>
      <c r="C258" t="s">
        <v>516</v>
      </c>
      <c r="D258">
        <v>24</v>
      </c>
      <c r="E258">
        <v>18</v>
      </c>
      <c r="F258">
        <v>4</v>
      </c>
      <c r="G258">
        <v>4009</v>
      </c>
      <c r="H258">
        <v>14</v>
      </c>
      <c r="I258" s="1">
        <v>45183</v>
      </c>
      <c r="J258" s="7">
        <f>Table1[[#This Row],[Required_Qty]]-Table1[[#This Row],[Available_Qty]]</f>
        <v>6</v>
      </c>
      <c r="K258" s="7">
        <v>-6</v>
      </c>
      <c r="L258" s="7">
        <f>IF(Table1[[#This Row],[Required_Qty]]&gt;Table1[[#This Row],[Available_Qty]],Table1[[#This Row],[Required_Qty]]-Table1[[#This Row],[Available_Qty]],0)</f>
        <v>6</v>
      </c>
      <c r="M258" s="7">
        <f>IF(Table1[[#This Row],[Required_Qty]]&lt;Table1[[#This Row],[Available_Qty]],Table1[[#This Row],[Available_Qty]]-Table1[[#This Row],[Required_Qty]],0)</f>
        <v>0</v>
      </c>
      <c r="N258">
        <v>16036</v>
      </c>
      <c r="O258" s="7">
        <f>IF(AND(Table1[[#This Row],[Clean_Shortage]]&gt;0,Table1[[#This Row],[Lead_Time_Days]]&gt;10),1,0)</f>
        <v>1</v>
      </c>
    </row>
    <row r="259" spans="1:15" hidden="1" x14ac:dyDescent="0.3">
      <c r="A259" t="s">
        <v>269</v>
      </c>
      <c r="B259" t="s">
        <v>515</v>
      </c>
      <c r="C259" t="s">
        <v>518</v>
      </c>
      <c r="D259">
        <v>38</v>
      </c>
      <c r="E259">
        <v>34</v>
      </c>
      <c r="F259">
        <v>19</v>
      </c>
      <c r="G259">
        <v>2827</v>
      </c>
      <c r="H259">
        <v>3</v>
      </c>
      <c r="I259" s="1">
        <v>45184</v>
      </c>
      <c r="J259" s="7">
        <f>Table1[[#This Row],[Required_Qty]]-Table1[[#This Row],[Available_Qty]]</f>
        <v>4</v>
      </c>
      <c r="K259" s="7">
        <v>-4</v>
      </c>
      <c r="L259" s="7">
        <f>IF(Table1[[#This Row],[Required_Qty]]&gt;Table1[[#This Row],[Available_Qty]],Table1[[#This Row],[Required_Qty]]-Table1[[#This Row],[Available_Qty]],0)</f>
        <v>4</v>
      </c>
      <c r="M259" s="7">
        <f>IF(Table1[[#This Row],[Required_Qty]]&lt;Table1[[#This Row],[Available_Qty]],Table1[[#This Row],[Available_Qty]]-Table1[[#This Row],[Required_Qty]],0)</f>
        <v>0</v>
      </c>
      <c r="N259">
        <v>53713</v>
      </c>
      <c r="O259" s="7">
        <f>IF(AND(Table1[[#This Row],[Clean_Shortage]]&gt;0,Table1[[#This Row],[Lead_Time_Days]]&gt;10),1,0)</f>
        <v>0</v>
      </c>
    </row>
    <row r="260" spans="1:15" hidden="1" x14ac:dyDescent="0.3">
      <c r="A260" t="s">
        <v>270</v>
      </c>
      <c r="B260" t="s">
        <v>513</v>
      </c>
      <c r="C260" t="s">
        <v>516</v>
      </c>
      <c r="D260">
        <v>42</v>
      </c>
      <c r="E260">
        <v>118</v>
      </c>
      <c r="F260">
        <v>7</v>
      </c>
      <c r="G260">
        <v>7979</v>
      </c>
      <c r="H260">
        <v>3</v>
      </c>
      <c r="I260" s="1">
        <v>45185</v>
      </c>
      <c r="J260" s="7">
        <f>Table1[[#This Row],[Required_Qty]]-Table1[[#This Row],[Available_Qty]]</f>
        <v>-76</v>
      </c>
      <c r="K260" s="7">
        <v>76</v>
      </c>
      <c r="L260" s="7">
        <f>IF(Table1[[#This Row],[Required_Qty]]&gt;Table1[[#This Row],[Available_Qty]],Table1[[#This Row],[Required_Qty]]-Table1[[#This Row],[Available_Qty]],0)</f>
        <v>0</v>
      </c>
      <c r="M260" s="7">
        <f>IF(Table1[[#This Row],[Required_Qty]]&lt;Table1[[#This Row],[Available_Qty]],Table1[[#This Row],[Available_Qty]]-Table1[[#This Row],[Required_Qty]],0)</f>
        <v>76</v>
      </c>
      <c r="N260">
        <v>55853</v>
      </c>
      <c r="O260" s="7">
        <f>IF(AND(Table1[[#This Row],[Clean_Shortage]]&gt;0,Table1[[#This Row],[Lead_Time_Days]]&gt;10),1,0)</f>
        <v>0</v>
      </c>
    </row>
    <row r="261" spans="1:15" hidden="1" x14ac:dyDescent="0.3">
      <c r="A261" t="s">
        <v>271</v>
      </c>
      <c r="B261" t="s">
        <v>512</v>
      </c>
      <c r="C261" t="s">
        <v>518</v>
      </c>
      <c r="D261">
        <v>36</v>
      </c>
      <c r="E261">
        <v>72</v>
      </c>
      <c r="F261">
        <v>42</v>
      </c>
      <c r="G261">
        <v>9569</v>
      </c>
      <c r="H261">
        <v>14</v>
      </c>
      <c r="I261" s="1">
        <v>45186</v>
      </c>
      <c r="J261" s="7">
        <f>Table1[[#This Row],[Required_Qty]]-Table1[[#This Row],[Available_Qty]]</f>
        <v>-36</v>
      </c>
      <c r="K261" s="7">
        <v>36</v>
      </c>
      <c r="L261" s="7">
        <f>IF(Table1[[#This Row],[Required_Qty]]&gt;Table1[[#This Row],[Available_Qty]],Table1[[#This Row],[Required_Qty]]-Table1[[#This Row],[Available_Qty]],0)</f>
        <v>0</v>
      </c>
      <c r="M261" s="7">
        <f>IF(Table1[[#This Row],[Required_Qty]]&lt;Table1[[#This Row],[Available_Qty]],Table1[[#This Row],[Available_Qty]]-Table1[[#This Row],[Required_Qty]],0)</f>
        <v>36</v>
      </c>
      <c r="N261">
        <v>401898</v>
      </c>
      <c r="O261" s="7">
        <f>IF(AND(Table1[[#This Row],[Clean_Shortage]]&gt;0,Table1[[#This Row],[Lead_Time_Days]]&gt;10),1,0)</f>
        <v>0</v>
      </c>
    </row>
    <row r="262" spans="1:15" x14ac:dyDescent="0.3">
      <c r="A262" t="s">
        <v>272</v>
      </c>
      <c r="B262" t="s">
        <v>514</v>
      </c>
      <c r="C262" t="s">
        <v>517</v>
      </c>
      <c r="D262">
        <v>45</v>
      </c>
      <c r="E262">
        <v>22</v>
      </c>
      <c r="F262">
        <v>75</v>
      </c>
      <c r="G262">
        <v>5285</v>
      </c>
      <c r="H262">
        <v>14</v>
      </c>
      <c r="I262" s="1">
        <v>45187</v>
      </c>
      <c r="J262" s="7">
        <f>Table1[[#This Row],[Required_Qty]]-Table1[[#This Row],[Available_Qty]]</f>
        <v>23</v>
      </c>
      <c r="K262" s="7">
        <v>-23</v>
      </c>
      <c r="L262" s="7">
        <f>IF(Table1[[#This Row],[Required_Qty]]&gt;Table1[[#This Row],[Available_Qty]],Table1[[#This Row],[Required_Qty]]-Table1[[#This Row],[Available_Qty]],0)</f>
        <v>23</v>
      </c>
      <c r="M262" s="7">
        <f>IF(Table1[[#This Row],[Required_Qty]]&lt;Table1[[#This Row],[Available_Qty]],Table1[[#This Row],[Available_Qty]]-Table1[[#This Row],[Required_Qty]],0)</f>
        <v>0</v>
      </c>
      <c r="N262">
        <v>396375</v>
      </c>
      <c r="O262" s="7">
        <f>IF(AND(Table1[[#This Row],[Clean_Shortage]]&gt;0,Table1[[#This Row],[Lead_Time_Days]]&gt;10),1,0)</f>
        <v>1</v>
      </c>
    </row>
    <row r="263" spans="1:15" hidden="1" x14ac:dyDescent="0.3">
      <c r="A263" t="s">
        <v>273</v>
      </c>
      <c r="B263" t="s">
        <v>515</v>
      </c>
      <c r="C263" t="s">
        <v>516</v>
      </c>
      <c r="D263">
        <v>38</v>
      </c>
      <c r="E263">
        <v>66</v>
      </c>
      <c r="F263">
        <v>0</v>
      </c>
      <c r="G263">
        <v>7910</v>
      </c>
      <c r="H263">
        <v>11</v>
      </c>
      <c r="I263" s="1">
        <v>45188</v>
      </c>
      <c r="J263" s="7">
        <f>Table1[[#This Row],[Required_Qty]]-Table1[[#This Row],[Available_Qty]]</f>
        <v>-28</v>
      </c>
      <c r="K263" s="7">
        <v>28</v>
      </c>
      <c r="L263" s="7">
        <f>IF(Table1[[#This Row],[Required_Qty]]&gt;Table1[[#This Row],[Available_Qty]],Table1[[#This Row],[Required_Qty]]-Table1[[#This Row],[Available_Qty]],0)</f>
        <v>0</v>
      </c>
      <c r="M263" s="7">
        <f>IF(Table1[[#This Row],[Required_Qty]]&lt;Table1[[#This Row],[Available_Qty]],Table1[[#This Row],[Available_Qty]]-Table1[[#This Row],[Required_Qty]],0)</f>
        <v>28</v>
      </c>
      <c r="N263">
        <v>0</v>
      </c>
      <c r="O263" s="7">
        <f>IF(AND(Table1[[#This Row],[Clean_Shortage]]&gt;0,Table1[[#This Row],[Lead_Time_Days]]&gt;10),1,0)</f>
        <v>0</v>
      </c>
    </row>
    <row r="264" spans="1:15" hidden="1" x14ac:dyDescent="0.3">
      <c r="A264" t="s">
        <v>274</v>
      </c>
      <c r="B264" t="s">
        <v>514</v>
      </c>
      <c r="C264" t="s">
        <v>516</v>
      </c>
      <c r="D264">
        <v>47</v>
      </c>
      <c r="E264">
        <v>41</v>
      </c>
      <c r="F264">
        <v>56</v>
      </c>
      <c r="G264">
        <v>9561</v>
      </c>
      <c r="H264">
        <v>4</v>
      </c>
      <c r="I264" s="1">
        <v>45189</v>
      </c>
      <c r="J264" s="7">
        <f>Table1[[#This Row],[Required_Qty]]-Table1[[#This Row],[Available_Qty]]</f>
        <v>6</v>
      </c>
      <c r="K264" s="7">
        <v>-6</v>
      </c>
      <c r="L264" s="7">
        <f>IF(Table1[[#This Row],[Required_Qty]]&gt;Table1[[#This Row],[Available_Qty]],Table1[[#This Row],[Required_Qty]]-Table1[[#This Row],[Available_Qty]],0)</f>
        <v>6</v>
      </c>
      <c r="M264" s="7">
        <f>IF(Table1[[#This Row],[Required_Qty]]&lt;Table1[[#This Row],[Available_Qty]],Table1[[#This Row],[Available_Qty]]-Table1[[#This Row],[Required_Qty]],0)</f>
        <v>0</v>
      </c>
      <c r="N264">
        <v>535416</v>
      </c>
      <c r="O264" s="7">
        <f>IF(AND(Table1[[#This Row],[Clean_Shortage]]&gt;0,Table1[[#This Row],[Lead_Time_Days]]&gt;10),1,0)</f>
        <v>0</v>
      </c>
    </row>
    <row r="265" spans="1:15" hidden="1" x14ac:dyDescent="0.3">
      <c r="A265" t="s">
        <v>275</v>
      </c>
      <c r="B265" t="s">
        <v>514</v>
      </c>
      <c r="C265" t="s">
        <v>517</v>
      </c>
      <c r="D265">
        <v>66</v>
      </c>
      <c r="E265">
        <v>29</v>
      </c>
      <c r="F265">
        <v>63</v>
      </c>
      <c r="G265">
        <v>3196</v>
      </c>
      <c r="H265">
        <v>1</v>
      </c>
      <c r="I265" s="1">
        <v>45190</v>
      </c>
      <c r="J265" s="7">
        <f>Table1[[#This Row],[Required_Qty]]-Table1[[#This Row],[Available_Qty]]</f>
        <v>37</v>
      </c>
      <c r="K265" s="7">
        <v>-37</v>
      </c>
      <c r="L265" s="7">
        <f>IF(Table1[[#This Row],[Required_Qty]]&gt;Table1[[#This Row],[Available_Qty]],Table1[[#This Row],[Required_Qty]]-Table1[[#This Row],[Available_Qty]],0)</f>
        <v>37</v>
      </c>
      <c r="M265" s="7">
        <f>IF(Table1[[#This Row],[Required_Qty]]&lt;Table1[[#This Row],[Available_Qty]],Table1[[#This Row],[Available_Qty]]-Table1[[#This Row],[Required_Qty]],0)</f>
        <v>0</v>
      </c>
      <c r="N265">
        <v>201348</v>
      </c>
      <c r="O265" s="7">
        <f>IF(AND(Table1[[#This Row],[Clean_Shortage]]&gt;0,Table1[[#This Row],[Lead_Time_Days]]&gt;10),1,0)</f>
        <v>0</v>
      </c>
    </row>
    <row r="266" spans="1:15" hidden="1" x14ac:dyDescent="0.3">
      <c r="A266" t="s">
        <v>276</v>
      </c>
      <c r="B266" t="s">
        <v>512</v>
      </c>
      <c r="C266" t="s">
        <v>516</v>
      </c>
      <c r="D266">
        <v>36</v>
      </c>
      <c r="E266">
        <v>52</v>
      </c>
      <c r="F266">
        <v>27</v>
      </c>
      <c r="G266">
        <v>4747</v>
      </c>
      <c r="H266">
        <v>9</v>
      </c>
      <c r="I266" s="1">
        <v>45191</v>
      </c>
      <c r="J266" s="7">
        <f>Table1[[#This Row],[Required_Qty]]-Table1[[#This Row],[Available_Qty]]</f>
        <v>-16</v>
      </c>
      <c r="K266" s="7">
        <v>16</v>
      </c>
      <c r="L266" s="7">
        <f>IF(Table1[[#This Row],[Required_Qty]]&gt;Table1[[#This Row],[Available_Qty]],Table1[[#This Row],[Required_Qty]]-Table1[[#This Row],[Available_Qty]],0)</f>
        <v>0</v>
      </c>
      <c r="M266" s="7">
        <f>IF(Table1[[#This Row],[Required_Qty]]&lt;Table1[[#This Row],[Available_Qty]],Table1[[#This Row],[Available_Qty]]-Table1[[#This Row],[Required_Qty]],0)</f>
        <v>16</v>
      </c>
      <c r="N266">
        <v>128169</v>
      </c>
      <c r="O266" s="7">
        <f>IF(AND(Table1[[#This Row],[Clean_Shortage]]&gt;0,Table1[[#This Row],[Lead_Time_Days]]&gt;10),1,0)</f>
        <v>0</v>
      </c>
    </row>
    <row r="267" spans="1:15" hidden="1" x14ac:dyDescent="0.3">
      <c r="A267" t="s">
        <v>277</v>
      </c>
      <c r="B267" t="s">
        <v>515</v>
      </c>
      <c r="C267" t="s">
        <v>516</v>
      </c>
      <c r="D267">
        <v>64</v>
      </c>
      <c r="E267">
        <v>69</v>
      </c>
      <c r="F267">
        <v>36</v>
      </c>
      <c r="G267">
        <v>9843</v>
      </c>
      <c r="H267">
        <v>8</v>
      </c>
      <c r="I267" s="1">
        <v>45192</v>
      </c>
      <c r="J267" s="7">
        <f>Table1[[#This Row],[Required_Qty]]-Table1[[#This Row],[Available_Qty]]</f>
        <v>-5</v>
      </c>
      <c r="K267" s="7">
        <v>5</v>
      </c>
      <c r="L267" s="7">
        <f>IF(Table1[[#This Row],[Required_Qty]]&gt;Table1[[#This Row],[Available_Qty]],Table1[[#This Row],[Required_Qty]]-Table1[[#This Row],[Available_Qty]],0)</f>
        <v>0</v>
      </c>
      <c r="M267" s="7">
        <f>IF(Table1[[#This Row],[Required_Qty]]&lt;Table1[[#This Row],[Available_Qty]],Table1[[#This Row],[Available_Qty]]-Table1[[#This Row],[Required_Qty]],0)</f>
        <v>5</v>
      </c>
      <c r="N267">
        <v>354348</v>
      </c>
      <c r="O267" s="7">
        <f>IF(AND(Table1[[#This Row],[Clean_Shortage]]&gt;0,Table1[[#This Row],[Lead_Time_Days]]&gt;10),1,0)</f>
        <v>0</v>
      </c>
    </row>
    <row r="268" spans="1:15" hidden="1" x14ac:dyDescent="0.3">
      <c r="A268" t="s">
        <v>278</v>
      </c>
      <c r="B268" t="s">
        <v>513</v>
      </c>
      <c r="C268" t="s">
        <v>518</v>
      </c>
      <c r="D268">
        <v>42</v>
      </c>
      <c r="E268">
        <v>57</v>
      </c>
      <c r="F268">
        <v>46</v>
      </c>
      <c r="G268">
        <v>6978</v>
      </c>
      <c r="H268">
        <v>8</v>
      </c>
      <c r="I268" s="1">
        <v>45193</v>
      </c>
      <c r="J268" s="7">
        <f>Table1[[#This Row],[Required_Qty]]-Table1[[#This Row],[Available_Qty]]</f>
        <v>-15</v>
      </c>
      <c r="K268" s="7">
        <v>15</v>
      </c>
      <c r="L268" s="7">
        <f>IF(Table1[[#This Row],[Required_Qty]]&gt;Table1[[#This Row],[Available_Qty]],Table1[[#This Row],[Required_Qty]]-Table1[[#This Row],[Available_Qty]],0)</f>
        <v>0</v>
      </c>
      <c r="M268" s="7">
        <f>IF(Table1[[#This Row],[Required_Qty]]&lt;Table1[[#This Row],[Available_Qty]],Table1[[#This Row],[Available_Qty]]-Table1[[#This Row],[Required_Qty]],0)</f>
        <v>15</v>
      </c>
      <c r="N268">
        <v>320988</v>
      </c>
      <c r="O268" s="7">
        <f>IF(AND(Table1[[#This Row],[Clean_Shortage]]&gt;0,Table1[[#This Row],[Lead_Time_Days]]&gt;10),1,0)</f>
        <v>0</v>
      </c>
    </row>
    <row r="269" spans="1:15" hidden="1" x14ac:dyDescent="0.3">
      <c r="A269" t="s">
        <v>279</v>
      </c>
      <c r="B269" t="s">
        <v>513</v>
      </c>
      <c r="C269" t="s">
        <v>516</v>
      </c>
      <c r="D269">
        <v>77</v>
      </c>
      <c r="E269">
        <v>114</v>
      </c>
      <c r="F269">
        <v>75</v>
      </c>
      <c r="G269">
        <v>6607</v>
      </c>
      <c r="H269">
        <v>14</v>
      </c>
      <c r="I269" s="1">
        <v>45194</v>
      </c>
      <c r="J269" s="7">
        <f>Table1[[#This Row],[Required_Qty]]-Table1[[#This Row],[Available_Qty]]</f>
        <v>-37</v>
      </c>
      <c r="K269" s="7">
        <v>37</v>
      </c>
      <c r="L269" s="7">
        <f>IF(Table1[[#This Row],[Required_Qty]]&gt;Table1[[#This Row],[Available_Qty]],Table1[[#This Row],[Required_Qty]]-Table1[[#This Row],[Available_Qty]],0)</f>
        <v>0</v>
      </c>
      <c r="M269" s="7">
        <f>IF(Table1[[#This Row],[Required_Qty]]&lt;Table1[[#This Row],[Available_Qty]],Table1[[#This Row],[Available_Qty]]-Table1[[#This Row],[Required_Qty]],0)</f>
        <v>37</v>
      </c>
      <c r="N269">
        <v>495525</v>
      </c>
      <c r="O269" s="7">
        <f>IF(AND(Table1[[#This Row],[Clean_Shortage]]&gt;0,Table1[[#This Row],[Lead_Time_Days]]&gt;10),1,0)</f>
        <v>0</v>
      </c>
    </row>
    <row r="270" spans="1:15" hidden="1" x14ac:dyDescent="0.3">
      <c r="A270" t="s">
        <v>280</v>
      </c>
      <c r="B270" t="s">
        <v>512</v>
      </c>
      <c r="C270" t="s">
        <v>517</v>
      </c>
      <c r="D270">
        <v>95</v>
      </c>
      <c r="E270">
        <v>83</v>
      </c>
      <c r="F270">
        <v>36</v>
      </c>
      <c r="G270">
        <v>1769</v>
      </c>
      <c r="H270">
        <v>10</v>
      </c>
      <c r="I270" s="1">
        <v>45195</v>
      </c>
      <c r="J270" s="7">
        <f>Table1[[#This Row],[Required_Qty]]-Table1[[#This Row],[Available_Qty]]</f>
        <v>12</v>
      </c>
      <c r="K270" s="7">
        <v>-12</v>
      </c>
      <c r="L270" s="7">
        <f>IF(Table1[[#This Row],[Required_Qty]]&gt;Table1[[#This Row],[Available_Qty]],Table1[[#This Row],[Required_Qty]]-Table1[[#This Row],[Available_Qty]],0)</f>
        <v>12</v>
      </c>
      <c r="M270" s="7">
        <f>IF(Table1[[#This Row],[Required_Qty]]&lt;Table1[[#This Row],[Available_Qty]],Table1[[#This Row],[Available_Qty]]-Table1[[#This Row],[Required_Qty]],0)</f>
        <v>0</v>
      </c>
      <c r="N270">
        <v>63684</v>
      </c>
      <c r="O270" s="7">
        <f>IF(AND(Table1[[#This Row],[Clean_Shortage]]&gt;0,Table1[[#This Row],[Lead_Time_Days]]&gt;10),1,0)</f>
        <v>0</v>
      </c>
    </row>
    <row r="271" spans="1:15" hidden="1" x14ac:dyDescent="0.3">
      <c r="A271" t="s">
        <v>281</v>
      </c>
      <c r="B271" t="s">
        <v>512</v>
      </c>
      <c r="C271" t="s">
        <v>518</v>
      </c>
      <c r="D271">
        <v>75</v>
      </c>
      <c r="E271">
        <v>77</v>
      </c>
      <c r="F271">
        <v>48</v>
      </c>
      <c r="G271">
        <v>1780</v>
      </c>
      <c r="H271">
        <v>6</v>
      </c>
      <c r="I271" s="1">
        <v>45196</v>
      </c>
      <c r="J271" s="7">
        <f>Table1[[#This Row],[Required_Qty]]-Table1[[#This Row],[Available_Qty]]</f>
        <v>-2</v>
      </c>
      <c r="K271" s="7">
        <v>2</v>
      </c>
      <c r="L271" s="7">
        <f>IF(Table1[[#This Row],[Required_Qty]]&gt;Table1[[#This Row],[Available_Qty]],Table1[[#This Row],[Required_Qty]]-Table1[[#This Row],[Available_Qty]],0)</f>
        <v>0</v>
      </c>
      <c r="M271" s="7">
        <f>IF(Table1[[#This Row],[Required_Qty]]&lt;Table1[[#This Row],[Available_Qty]],Table1[[#This Row],[Available_Qty]]-Table1[[#This Row],[Required_Qty]],0)</f>
        <v>2</v>
      </c>
      <c r="N271">
        <v>85440</v>
      </c>
      <c r="O271" s="7">
        <f>IF(AND(Table1[[#This Row],[Clean_Shortage]]&gt;0,Table1[[#This Row],[Lead_Time_Days]]&gt;10),1,0)</f>
        <v>0</v>
      </c>
    </row>
    <row r="272" spans="1:15" hidden="1" x14ac:dyDescent="0.3">
      <c r="A272" t="s">
        <v>282</v>
      </c>
      <c r="B272" t="s">
        <v>515</v>
      </c>
      <c r="C272" t="s">
        <v>518</v>
      </c>
      <c r="D272">
        <v>19</v>
      </c>
      <c r="E272">
        <v>19</v>
      </c>
      <c r="F272">
        <v>43</v>
      </c>
      <c r="G272">
        <v>7303</v>
      </c>
      <c r="H272">
        <v>7</v>
      </c>
      <c r="I272" s="1">
        <v>45197</v>
      </c>
      <c r="J272" s="7">
        <f>Table1[[#This Row],[Required_Qty]]-Table1[[#This Row],[Available_Qty]]</f>
        <v>0</v>
      </c>
      <c r="K272" s="7">
        <v>0</v>
      </c>
      <c r="L272" s="7">
        <f>IF(Table1[[#This Row],[Required_Qty]]&gt;Table1[[#This Row],[Available_Qty]],Table1[[#This Row],[Required_Qty]]-Table1[[#This Row],[Available_Qty]],0)</f>
        <v>0</v>
      </c>
      <c r="M272" s="7">
        <f>IF(Table1[[#This Row],[Required_Qty]]&lt;Table1[[#This Row],[Available_Qty]],Table1[[#This Row],[Available_Qty]]-Table1[[#This Row],[Required_Qty]],0)</f>
        <v>0</v>
      </c>
      <c r="N272">
        <v>314029</v>
      </c>
      <c r="O272" s="7">
        <f>IF(AND(Table1[[#This Row],[Clean_Shortage]]&gt;0,Table1[[#This Row],[Lead_Time_Days]]&gt;10),1,0)</f>
        <v>0</v>
      </c>
    </row>
    <row r="273" spans="1:15" hidden="1" x14ac:dyDescent="0.3">
      <c r="A273" t="s">
        <v>283</v>
      </c>
      <c r="B273" t="s">
        <v>513</v>
      </c>
      <c r="C273" t="s">
        <v>517</v>
      </c>
      <c r="D273">
        <v>14</v>
      </c>
      <c r="E273">
        <v>53</v>
      </c>
      <c r="F273">
        <v>55</v>
      </c>
      <c r="G273">
        <v>4983</v>
      </c>
      <c r="H273">
        <v>6</v>
      </c>
      <c r="I273" s="1">
        <v>45198</v>
      </c>
      <c r="J273" s="7">
        <f>Table1[[#This Row],[Required_Qty]]-Table1[[#This Row],[Available_Qty]]</f>
        <v>-39</v>
      </c>
      <c r="K273" s="7">
        <v>39</v>
      </c>
      <c r="L273" s="7">
        <f>IF(Table1[[#This Row],[Required_Qty]]&gt;Table1[[#This Row],[Available_Qty]],Table1[[#This Row],[Required_Qty]]-Table1[[#This Row],[Available_Qty]],0)</f>
        <v>0</v>
      </c>
      <c r="M273" s="7">
        <f>IF(Table1[[#This Row],[Required_Qty]]&lt;Table1[[#This Row],[Available_Qty]],Table1[[#This Row],[Available_Qty]]-Table1[[#This Row],[Required_Qty]],0)</f>
        <v>39</v>
      </c>
      <c r="N273">
        <v>274065</v>
      </c>
      <c r="O273" s="7">
        <f>IF(AND(Table1[[#This Row],[Clean_Shortage]]&gt;0,Table1[[#This Row],[Lead_Time_Days]]&gt;10),1,0)</f>
        <v>0</v>
      </c>
    </row>
    <row r="274" spans="1:15" hidden="1" x14ac:dyDescent="0.3">
      <c r="A274" t="s">
        <v>284</v>
      </c>
      <c r="B274" t="s">
        <v>513</v>
      </c>
      <c r="C274" t="s">
        <v>517</v>
      </c>
      <c r="D274">
        <v>83</v>
      </c>
      <c r="E274">
        <v>92</v>
      </c>
      <c r="F274">
        <v>27</v>
      </c>
      <c r="G274">
        <v>9714</v>
      </c>
      <c r="H274">
        <v>9</v>
      </c>
      <c r="I274" s="1">
        <v>45199</v>
      </c>
      <c r="J274" s="7">
        <f>Table1[[#This Row],[Required_Qty]]-Table1[[#This Row],[Available_Qty]]</f>
        <v>-9</v>
      </c>
      <c r="K274" s="7">
        <v>9</v>
      </c>
      <c r="L274" s="7">
        <f>IF(Table1[[#This Row],[Required_Qty]]&gt;Table1[[#This Row],[Available_Qty]],Table1[[#This Row],[Required_Qty]]-Table1[[#This Row],[Available_Qty]],0)</f>
        <v>0</v>
      </c>
      <c r="M274" s="7">
        <f>IF(Table1[[#This Row],[Required_Qty]]&lt;Table1[[#This Row],[Available_Qty]],Table1[[#This Row],[Available_Qty]]-Table1[[#This Row],[Required_Qty]],0)</f>
        <v>9</v>
      </c>
      <c r="N274">
        <v>262278</v>
      </c>
      <c r="O274" s="7">
        <f>IF(AND(Table1[[#This Row],[Clean_Shortage]]&gt;0,Table1[[#This Row],[Lead_Time_Days]]&gt;10),1,0)</f>
        <v>0</v>
      </c>
    </row>
    <row r="275" spans="1:15" hidden="1" x14ac:dyDescent="0.3">
      <c r="A275" t="s">
        <v>285</v>
      </c>
      <c r="B275" t="s">
        <v>513</v>
      </c>
      <c r="C275" t="s">
        <v>518</v>
      </c>
      <c r="D275">
        <v>47</v>
      </c>
      <c r="E275">
        <v>72</v>
      </c>
      <c r="F275">
        <v>78</v>
      </c>
      <c r="G275">
        <v>1521</v>
      </c>
      <c r="H275">
        <v>3</v>
      </c>
      <c r="I275" s="1">
        <v>45200</v>
      </c>
      <c r="J275" s="7">
        <f>Table1[[#This Row],[Required_Qty]]-Table1[[#This Row],[Available_Qty]]</f>
        <v>-25</v>
      </c>
      <c r="K275" s="7">
        <v>25</v>
      </c>
      <c r="L275" s="7">
        <f>IF(Table1[[#This Row],[Required_Qty]]&gt;Table1[[#This Row],[Available_Qty]],Table1[[#This Row],[Required_Qty]]-Table1[[#This Row],[Available_Qty]],0)</f>
        <v>0</v>
      </c>
      <c r="M275" s="7">
        <f>IF(Table1[[#This Row],[Required_Qty]]&lt;Table1[[#This Row],[Available_Qty]],Table1[[#This Row],[Available_Qty]]-Table1[[#This Row],[Required_Qty]],0)</f>
        <v>25</v>
      </c>
      <c r="N275">
        <v>118638</v>
      </c>
      <c r="O275" s="7">
        <f>IF(AND(Table1[[#This Row],[Clean_Shortage]]&gt;0,Table1[[#This Row],[Lead_Time_Days]]&gt;10),1,0)</f>
        <v>0</v>
      </c>
    </row>
    <row r="276" spans="1:15" x14ac:dyDescent="0.3">
      <c r="A276" t="s">
        <v>286</v>
      </c>
      <c r="B276" t="s">
        <v>514</v>
      </c>
      <c r="C276" t="s">
        <v>516</v>
      </c>
      <c r="D276">
        <v>22</v>
      </c>
      <c r="E276">
        <v>16</v>
      </c>
      <c r="F276">
        <v>5</v>
      </c>
      <c r="G276">
        <v>8569</v>
      </c>
      <c r="H276">
        <v>14</v>
      </c>
      <c r="I276" s="1">
        <v>45201</v>
      </c>
      <c r="J276" s="7">
        <f>Table1[[#This Row],[Required_Qty]]-Table1[[#This Row],[Available_Qty]]</f>
        <v>6</v>
      </c>
      <c r="K276" s="7">
        <v>-6</v>
      </c>
      <c r="L276" s="7">
        <f>IF(Table1[[#This Row],[Required_Qty]]&gt;Table1[[#This Row],[Available_Qty]],Table1[[#This Row],[Required_Qty]]-Table1[[#This Row],[Available_Qty]],0)</f>
        <v>6</v>
      </c>
      <c r="M276" s="7">
        <f>IF(Table1[[#This Row],[Required_Qty]]&lt;Table1[[#This Row],[Available_Qty]],Table1[[#This Row],[Available_Qty]]-Table1[[#This Row],[Required_Qty]],0)</f>
        <v>0</v>
      </c>
      <c r="N276">
        <v>42845</v>
      </c>
      <c r="O276" s="7">
        <f>IF(AND(Table1[[#This Row],[Clean_Shortage]]&gt;0,Table1[[#This Row],[Lead_Time_Days]]&gt;10),1,0)</f>
        <v>1</v>
      </c>
    </row>
    <row r="277" spans="1:15" hidden="1" x14ac:dyDescent="0.3">
      <c r="A277" t="s">
        <v>287</v>
      </c>
      <c r="B277" t="s">
        <v>513</v>
      </c>
      <c r="C277" t="s">
        <v>518</v>
      </c>
      <c r="D277">
        <v>40</v>
      </c>
      <c r="E277">
        <v>63</v>
      </c>
      <c r="F277">
        <v>60</v>
      </c>
      <c r="G277">
        <v>6784</v>
      </c>
      <c r="H277">
        <v>3</v>
      </c>
      <c r="I277" s="1">
        <v>45202</v>
      </c>
      <c r="J277" s="7">
        <f>Table1[[#This Row],[Required_Qty]]-Table1[[#This Row],[Available_Qty]]</f>
        <v>-23</v>
      </c>
      <c r="K277" s="7">
        <v>23</v>
      </c>
      <c r="L277" s="7">
        <f>IF(Table1[[#This Row],[Required_Qty]]&gt;Table1[[#This Row],[Available_Qty]],Table1[[#This Row],[Required_Qty]]-Table1[[#This Row],[Available_Qty]],0)</f>
        <v>0</v>
      </c>
      <c r="M277" s="7">
        <f>IF(Table1[[#This Row],[Required_Qty]]&lt;Table1[[#This Row],[Available_Qty]],Table1[[#This Row],[Available_Qty]]-Table1[[#This Row],[Required_Qty]],0)</f>
        <v>23</v>
      </c>
      <c r="N277">
        <v>407040</v>
      </c>
      <c r="O277" s="7">
        <f>IF(AND(Table1[[#This Row],[Clean_Shortage]]&gt;0,Table1[[#This Row],[Lead_Time_Days]]&gt;10),1,0)</f>
        <v>0</v>
      </c>
    </row>
    <row r="278" spans="1:15" hidden="1" x14ac:dyDescent="0.3">
      <c r="A278" t="s">
        <v>288</v>
      </c>
      <c r="B278" t="s">
        <v>514</v>
      </c>
      <c r="C278" t="s">
        <v>517</v>
      </c>
      <c r="D278">
        <v>56</v>
      </c>
      <c r="E278">
        <v>41</v>
      </c>
      <c r="F278">
        <v>19</v>
      </c>
      <c r="G278">
        <v>5583</v>
      </c>
      <c r="H278">
        <v>3</v>
      </c>
      <c r="I278" s="1">
        <v>45203</v>
      </c>
      <c r="J278" s="7">
        <f>Table1[[#This Row],[Required_Qty]]-Table1[[#This Row],[Available_Qty]]</f>
        <v>15</v>
      </c>
      <c r="K278" s="7">
        <v>-15</v>
      </c>
      <c r="L278" s="7">
        <f>IF(Table1[[#This Row],[Required_Qty]]&gt;Table1[[#This Row],[Available_Qty]],Table1[[#This Row],[Required_Qty]]-Table1[[#This Row],[Available_Qty]],0)</f>
        <v>15</v>
      </c>
      <c r="M278" s="7">
        <f>IF(Table1[[#This Row],[Required_Qty]]&lt;Table1[[#This Row],[Available_Qty]],Table1[[#This Row],[Available_Qty]]-Table1[[#This Row],[Required_Qty]],0)</f>
        <v>0</v>
      </c>
      <c r="N278">
        <v>106077</v>
      </c>
      <c r="O278" s="7">
        <f>IF(AND(Table1[[#This Row],[Clean_Shortage]]&gt;0,Table1[[#This Row],[Lead_Time_Days]]&gt;10),1,0)</f>
        <v>0</v>
      </c>
    </row>
    <row r="279" spans="1:15" hidden="1" x14ac:dyDescent="0.3">
      <c r="A279" t="s">
        <v>289</v>
      </c>
      <c r="B279" t="s">
        <v>515</v>
      </c>
      <c r="C279" t="s">
        <v>518</v>
      </c>
      <c r="D279">
        <v>97</v>
      </c>
      <c r="E279">
        <v>65</v>
      </c>
      <c r="F279">
        <v>77</v>
      </c>
      <c r="G279">
        <v>6946</v>
      </c>
      <c r="H279">
        <v>10</v>
      </c>
      <c r="I279" s="1">
        <v>45204</v>
      </c>
      <c r="J279" s="7">
        <f>Table1[[#This Row],[Required_Qty]]-Table1[[#This Row],[Available_Qty]]</f>
        <v>32</v>
      </c>
      <c r="K279" s="7">
        <v>-32</v>
      </c>
      <c r="L279" s="7">
        <f>IF(Table1[[#This Row],[Required_Qty]]&gt;Table1[[#This Row],[Available_Qty]],Table1[[#This Row],[Required_Qty]]-Table1[[#This Row],[Available_Qty]],0)</f>
        <v>32</v>
      </c>
      <c r="M279" s="7">
        <f>IF(Table1[[#This Row],[Required_Qty]]&lt;Table1[[#This Row],[Available_Qty]],Table1[[#This Row],[Available_Qty]]-Table1[[#This Row],[Required_Qty]],0)</f>
        <v>0</v>
      </c>
      <c r="N279">
        <v>534842</v>
      </c>
      <c r="O279" s="7">
        <f>IF(AND(Table1[[#This Row],[Clean_Shortage]]&gt;0,Table1[[#This Row],[Lead_Time_Days]]&gt;10),1,0)</f>
        <v>0</v>
      </c>
    </row>
    <row r="280" spans="1:15" hidden="1" x14ac:dyDescent="0.3">
      <c r="A280" t="s">
        <v>290</v>
      </c>
      <c r="B280" t="s">
        <v>514</v>
      </c>
      <c r="C280" t="s">
        <v>517</v>
      </c>
      <c r="D280">
        <v>61</v>
      </c>
      <c r="E280">
        <v>105</v>
      </c>
      <c r="F280">
        <v>1</v>
      </c>
      <c r="G280">
        <v>5941</v>
      </c>
      <c r="H280">
        <v>3</v>
      </c>
      <c r="I280" s="1">
        <v>45205</v>
      </c>
      <c r="J280" s="7">
        <f>Table1[[#This Row],[Required_Qty]]-Table1[[#This Row],[Available_Qty]]</f>
        <v>-44</v>
      </c>
      <c r="K280" s="7">
        <v>44</v>
      </c>
      <c r="L280" s="7">
        <f>IF(Table1[[#This Row],[Required_Qty]]&gt;Table1[[#This Row],[Available_Qty]],Table1[[#This Row],[Required_Qty]]-Table1[[#This Row],[Available_Qty]],0)</f>
        <v>0</v>
      </c>
      <c r="M280" s="7">
        <f>IF(Table1[[#This Row],[Required_Qty]]&lt;Table1[[#This Row],[Available_Qty]],Table1[[#This Row],[Available_Qty]]-Table1[[#This Row],[Required_Qty]],0)</f>
        <v>44</v>
      </c>
      <c r="N280">
        <v>5941</v>
      </c>
      <c r="O280" s="7">
        <f>IF(AND(Table1[[#This Row],[Clean_Shortage]]&gt;0,Table1[[#This Row],[Lead_Time_Days]]&gt;10),1,0)</f>
        <v>0</v>
      </c>
    </row>
    <row r="281" spans="1:15" hidden="1" x14ac:dyDescent="0.3">
      <c r="A281" t="s">
        <v>291</v>
      </c>
      <c r="B281" t="s">
        <v>515</v>
      </c>
      <c r="C281" t="s">
        <v>518</v>
      </c>
      <c r="D281">
        <v>65</v>
      </c>
      <c r="E281">
        <v>47</v>
      </c>
      <c r="F281">
        <v>72</v>
      </c>
      <c r="G281">
        <v>7267</v>
      </c>
      <c r="H281">
        <v>9</v>
      </c>
      <c r="I281" s="1">
        <v>45206</v>
      </c>
      <c r="J281" s="7">
        <f>Table1[[#This Row],[Required_Qty]]-Table1[[#This Row],[Available_Qty]]</f>
        <v>18</v>
      </c>
      <c r="K281" s="7">
        <v>-18</v>
      </c>
      <c r="L281" s="7">
        <f>IF(Table1[[#This Row],[Required_Qty]]&gt;Table1[[#This Row],[Available_Qty]],Table1[[#This Row],[Required_Qty]]-Table1[[#This Row],[Available_Qty]],0)</f>
        <v>18</v>
      </c>
      <c r="M281" s="7">
        <f>IF(Table1[[#This Row],[Required_Qty]]&lt;Table1[[#This Row],[Available_Qty]],Table1[[#This Row],[Available_Qty]]-Table1[[#This Row],[Required_Qty]],0)</f>
        <v>0</v>
      </c>
      <c r="N281">
        <v>523224</v>
      </c>
      <c r="O281" s="7">
        <f>IF(AND(Table1[[#This Row],[Clean_Shortage]]&gt;0,Table1[[#This Row],[Lead_Time_Days]]&gt;10),1,0)</f>
        <v>0</v>
      </c>
    </row>
    <row r="282" spans="1:15" hidden="1" x14ac:dyDescent="0.3">
      <c r="A282" t="s">
        <v>292</v>
      </c>
      <c r="B282" t="s">
        <v>513</v>
      </c>
      <c r="C282" t="s">
        <v>516</v>
      </c>
      <c r="D282">
        <v>24</v>
      </c>
      <c r="E282">
        <v>74</v>
      </c>
      <c r="F282">
        <v>36</v>
      </c>
      <c r="G282">
        <v>8128</v>
      </c>
      <c r="H282">
        <v>12</v>
      </c>
      <c r="I282" s="1">
        <v>45207</v>
      </c>
      <c r="J282" s="7">
        <f>Table1[[#This Row],[Required_Qty]]-Table1[[#This Row],[Available_Qty]]</f>
        <v>-50</v>
      </c>
      <c r="K282" s="7">
        <v>50</v>
      </c>
      <c r="L282" s="7">
        <f>IF(Table1[[#This Row],[Required_Qty]]&gt;Table1[[#This Row],[Available_Qty]],Table1[[#This Row],[Required_Qty]]-Table1[[#This Row],[Available_Qty]],0)</f>
        <v>0</v>
      </c>
      <c r="M282" s="7">
        <f>IF(Table1[[#This Row],[Required_Qty]]&lt;Table1[[#This Row],[Available_Qty]],Table1[[#This Row],[Available_Qty]]-Table1[[#This Row],[Required_Qty]],0)</f>
        <v>50</v>
      </c>
      <c r="N282">
        <v>292608</v>
      </c>
      <c r="O282" s="7">
        <f>IF(AND(Table1[[#This Row],[Clean_Shortage]]&gt;0,Table1[[#This Row],[Lead_Time_Days]]&gt;10),1,0)</f>
        <v>0</v>
      </c>
    </row>
    <row r="283" spans="1:15" hidden="1" x14ac:dyDescent="0.3">
      <c r="A283" t="s">
        <v>293</v>
      </c>
      <c r="B283" t="s">
        <v>513</v>
      </c>
      <c r="C283" t="s">
        <v>518</v>
      </c>
      <c r="D283">
        <v>38</v>
      </c>
      <c r="E283">
        <v>43</v>
      </c>
      <c r="F283">
        <v>19</v>
      </c>
      <c r="G283">
        <v>3461</v>
      </c>
      <c r="H283">
        <v>4</v>
      </c>
      <c r="I283" s="1">
        <v>45208</v>
      </c>
      <c r="J283" s="7">
        <f>Table1[[#This Row],[Required_Qty]]-Table1[[#This Row],[Available_Qty]]</f>
        <v>-5</v>
      </c>
      <c r="K283" s="7">
        <v>5</v>
      </c>
      <c r="L283" s="7">
        <f>IF(Table1[[#This Row],[Required_Qty]]&gt;Table1[[#This Row],[Available_Qty]],Table1[[#This Row],[Required_Qty]]-Table1[[#This Row],[Available_Qty]],0)</f>
        <v>0</v>
      </c>
      <c r="M283" s="7">
        <f>IF(Table1[[#This Row],[Required_Qty]]&lt;Table1[[#This Row],[Available_Qty]],Table1[[#This Row],[Available_Qty]]-Table1[[#This Row],[Required_Qty]],0)</f>
        <v>5</v>
      </c>
      <c r="N283">
        <v>65759</v>
      </c>
      <c r="O283" s="7">
        <f>IF(AND(Table1[[#This Row],[Clean_Shortage]]&gt;0,Table1[[#This Row],[Lead_Time_Days]]&gt;10),1,0)</f>
        <v>0</v>
      </c>
    </row>
    <row r="284" spans="1:15" hidden="1" x14ac:dyDescent="0.3">
      <c r="A284" t="s">
        <v>294</v>
      </c>
      <c r="B284" t="s">
        <v>515</v>
      </c>
      <c r="C284" t="s">
        <v>518</v>
      </c>
      <c r="D284">
        <v>17</v>
      </c>
      <c r="E284">
        <v>60</v>
      </c>
      <c r="F284">
        <v>25</v>
      </c>
      <c r="G284">
        <v>1685</v>
      </c>
      <c r="H284">
        <v>13</v>
      </c>
      <c r="I284" s="1">
        <v>45209</v>
      </c>
      <c r="J284" s="7">
        <f>Table1[[#This Row],[Required_Qty]]-Table1[[#This Row],[Available_Qty]]</f>
        <v>-43</v>
      </c>
      <c r="K284" s="7">
        <v>43</v>
      </c>
      <c r="L284" s="7">
        <f>IF(Table1[[#This Row],[Required_Qty]]&gt;Table1[[#This Row],[Available_Qty]],Table1[[#This Row],[Required_Qty]]-Table1[[#This Row],[Available_Qty]],0)</f>
        <v>0</v>
      </c>
      <c r="M284" s="7">
        <f>IF(Table1[[#This Row],[Required_Qty]]&lt;Table1[[#This Row],[Available_Qty]],Table1[[#This Row],[Available_Qty]]-Table1[[#This Row],[Required_Qty]],0)</f>
        <v>43</v>
      </c>
      <c r="N284">
        <v>42125</v>
      </c>
      <c r="O284" s="7">
        <f>IF(AND(Table1[[#This Row],[Clean_Shortage]]&gt;0,Table1[[#This Row],[Lead_Time_Days]]&gt;10),1,0)</f>
        <v>0</v>
      </c>
    </row>
    <row r="285" spans="1:15" hidden="1" x14ac:dyDescent="0.3">
      <c r="A285" t="s">
        <v>295</v>
      </c>
      <c r="B285" t="s">
        <v>512</v>
      </c>
      <c r="C285" t="s">
        <v>517</v>
      </c>
      <c r="D285">
        <v>14</v>
      </c>
      <c r="E285">
        <v>67</v>
      </c>
      <c r="F285">
        <v>28</v>
      </c>
      <c r="G285">
        <v>3160</v>
      </c>
      <c r="H285">
        <v>7</v>
      </c>
      <c r="I285" s="1">
        <v>45210</v>
      </c>
      <c r="J285" s="7">
        <f>Table1[[#This Row],[Required_Qty]]-Table1[[#This Row],[Available_Qty]]</f>
        <v>-53</v>
      </c>
      <c r="K285" s="7">
        <v>53</v>
      </c>
      <c r="L285" s="7">
        <f>IF(Table1[[#This Row],[Required_Qty]]&gt;Table1[[#This Row],[Available_Qty]],Table1[[#This Row],[Required_Qty]]-Table1[[#This Row],[Available_Qty]],0)</f>
        <v>0</v>
      </c>
      <c r="M285" s="7">
        <f>IF(Table1[[#This Row],[Required_Qty]]&lt;Table1[[#This Row],[Available_Qty]],Table1[[#This Row],[Available_Qty]]-Table1[[#This Row],[Required_Qty]],0)</f>
        <v>53</v>
      </c>
      <c r="N285">
        <v>88480</v>
      </c>
      <c r="O285" s="7">
        <f>IF(AND(Table1[[#This Row],[Clean_Shortage]]&gt;0,Table1[[#This Row],[Lead_Time_Days]]&gt;10),1,0)</f>
        <v>0</v>
      </c>
    </row>
    <row r="286" spans="1:15" hidden="1" x14ac:dyDescent="0.3">
      <c r="A286" t="s">
        <v>296</v>
      </c>
      <c r="B286" t="s">
        <v>515</v>
      </c>
      <c r="C286" t="s">
        <v>517</v>
      </c>
      <c r="D286">
        <v>38</v>
      </c>
      <c r="E286">
        <v>50</v>
      </c>
      <c r="F286">
        <v>0</v>
      </c>
      <c r="G286">
        <v>8031</v>
      </c>
      <c r="H286">
        <v>14</v>
      </c>
      <c r="I286" s="1">
        <v>45211</v>
      </c>
      <c r="J286" s="7">
        <f>Table1[[#This Row],[Required_Qty]]-Table1[[#This Row],[Available_Qty]]</f>
        <v>-12</v>
      </c>
      <c r="K286" s="7">
        <v>12</v>
      </c>
      <c r="L286" s="7">
        <f>IF(Table1[[#This Row],[Required_Qty]]&gt;Table1[[#This Row],[Available_Qty]],Table1[[#This Row],[Required_Qty]]-Table1[[#This Row],[Available_Qty]],0)</f>
        <v>0</v>
      </c>
      <c r="M286" s="7">
        <f>IF(Table1[[#This Row],[Required_Qty]]&lt;Table1[[#This Row],[Available_Qty]],Table1[[#This Row],[Available_Qty]]-Table1[[#This Row],[Required_Qty]],0)</f>
        <v>12</v>
      </c>
      <c r="N286">
        <v>0</v>
      </c>
      <c r="O286" s="7">
        <f>IF(AND(Table1[[#This Row],[Clean_Shortage]]&gt;0,Table1[[#This Row],[Lead_Time_Days]]&gt;10),1,0)</f>
        <v>0</v>
      </c>
    </row>
    <row r="287" spans="1:15" hidden="1" x14ac:dyDescent="0.3">
      <c r="A287" t="s">
        <v>297</v>
      </c>
      <c r="B287" t="s">
        <v>512</v>
      </c>
      <c r="C287" t="s">
        <v>517</v>
      </c>
      <c r="D287">
        <v>56</v>
      </c>
      <c r="E287">
        <v>92</v>
      </c>
      <c r="F287">
        <v>34</v>
      </c>
      <c r="G287">
        <v>6341</v>
      </c>
      <c r="H287">
        <v>9</v>
      </c>
      <c r="I287" s="1">
        <v>45212</v>
      </c>
      <c r="J287" s="7">
        <f>Table1[[#This Row],[Required_Qty]]-Table1[[#This Row],[Available_Qty]]</f>
        <v>-36</v>
      </c>
      <c r="K287" s="7">
        <v>36</v>
      </c>
      <c r="L287" s="7">
        <f>IF(Table1[[#This Row],[Required_Qty]]&gt;Table1[[#This Row],[Available_Qty]],Table1[[#This Row],[Required_Qty]]-Table1[[#This Row],[Available_Qty]],0)</f>
        <v>0</v>
      </c>
      <c r="M287" s="7">
        <f>IF(Table1[[#This Row],[Required_Qty]]&lt;Table1[[#This Row],[Available_Qty]],Table1[[#This Row],[Available_Qty]]-Table1[[#This Row],[Required_Qty]],0)</f>
        <v>36</v>
      </c>
      <c r="N287">
        <v>215594</v>
      </c>
      <c r="O287" s="7">
        <f>IF(AND(Table1[[#This Row],[Clean_Shortage]]&gt;0,Table1[[#This Row],[Lead_Time_Days]]&gt;10),1,0)</f>
        <v>0</v>
      </c>
    </row>
    <row r="288" spans="1:15" x14ac:dyDescent="0.3">
      <c r="A288" t="s">
        <v>298</v>
      </c>
      <c r="B288" t="s">
        <v>514</v>
      </c>
      <c r="C288" t="s">
        <v>518</v>
      </c>
      <c r="D288">
        <v>77</v>
      </c>
      <c r="E288">
        <v>15</v>
      </c>
      <c r="F288">
        <v>69</v>
      </c>
      <c r="G288">
        <v>1038</v>
      </c>
      <c r="H288">
        <v>11</v>
      </c>
      <c r="I288" s="1">
        <v>45213</v>
      </c>
      <c r="J288" s="7">
        <f>Table1[[#This Row],[Required_Qty]]-Table1[[#This Row],[Available_Qty]]</f>
        <v>62</v>
      </c>
      <c r="K288" s="7">
        <v>-62</v>
      </c>
      <c r="L288" s="7">
        <f>IF(Table1[[#This Row],[Required_Qty]]&gt;Table1[[#This Row],[Available_Qty]],Table1[[#This Row],[Required_Qty]]-Table1[[#This Row],[Available_Qty]],0)</f>
        <v>62</v>
      </c>
      <c r="M288" s="7">
        <f>IF(Table1[[#This Row],[Required_Qty]]&lt;Table1[[#This Row],[Available_Qty]],Table1[[#This Row],[Available_Qty]]-Table1[[#This Row],[Required_Qty]],0)</f>
        <v>0</v>
      </c>
      <c r="N288">
        <v>71622</v>
      </c>
      <c r="O288" s="7">
        <f>IF(AND(Table1[[#This Row],[Clean_Shortage]]&gt;0,Table1[[#This Row],[Lead_Time_Days]]&gt;10),1,0)</f>
        <v>1</v>
      </c>
    </row>
    <row r="289" spans="1:15" x14ac:dyDescent="0.3">
      <c r="A289" t="s">
        <v>299</v>
      </c>
      <c r="B289" t="s">
        <v>514</v>
      </c>
      <c r="C289" t="s">
        <v>516</v>
      </c>
      <c r="D289">
        <v>85</v>
      </c>
      <c r="E289">
        <v>66</v>
      </c>
      <c r="F289">
        <v>58</v>
      </c>
      <c r="G289">
        <v>5875</v>
      </c>
      <c r="H289">
        <v>12</v>
      </c>
      <c r="I289" s="1">
        <v>45214</v>
      </c>
      <c r="J289" s="7">
        <f>Table1[[#This Row],[Required_Qty]]-Table1[[#This Row],[Available_Qty]]</f>
        <v>19</v>
      </c>
      <c r="K289" s="7">
        <v>-19</v>
      </c>
      <c r="L289" s="7">
        <f>IF(Table1[[#This Row],[Required_Qty]]&gt;Table1[[#This Row],[Available_Qty]],Table1[[#This Row],[Required_Qty]]-Table1[[#This Row],[Available_Qty]],0)</f>
        <v>19</v>
      </c>
      <c r="M289" s="7">
        <f>IF(Table1[[#This Row],[Required_Qty]]&lt;Table1[[#This Row],[Available_Qty]],Table1[[#This Row],[Available_Qty]]-Table1[[#This Row],[Required_Qty]],0)</f>
        <v>0</v>
      </c>
      <c r="N289">
        <v>340750</v>
      </c>
      <c r="O289" s="7">
        <f>IF(AND(Table1[[#This Row],[Clean_Shortage]]&gt;0,Table1[[#This Row],[Lead_Time_Days]]&gt;10),1,0)</f>
        <v>1</v>
      </c>
    </row>
    <row r="290" spans="1:15" hidden="1" x14ac:dyDescent="0.3">
      <c r="A290" t="s">
        <v>300</v>
      </c>
      <c r="B290" t="s">
        <v>514</v>
      </c>
      <c r="C290" t="s">
        <v>517</v>
      </c>
      <c r="D290">
        <v>54</v>
      </c>
      <c r="E290">
        <v>81</v>
      </c>
      <c r="F290">
        <v>68</v>
      </c>
      <c r="G290">
        <v>2256</v>
      </c>
      <c r="H290">
        <v>7</v>
      </c>
      <c r="I290" s="1">
        <v>45215</v>
      </c>
      <c r="J290" s="7">
        <f>Table1[[#This Row],[Required_Qty]]-Table1[[#This Row],[Available_Qty]]</f>
        <v>-27</v>
      </c>
      <c r="K290" s="7">
        <v>27</v>
      </c>
      <c r="L290" s="7">
        <f>IF(Table1[[#This Row],[Required_Qty]]&gt;Table1[[#This Row],[Available_Qty]],Table1[[#This Row],[Required_Qty]]-Table1[[#This Row],[Available_Qty]],0)</f>
        <v>0</v>
      </c>
      <c r="M290" s="7">
        <f>IF(Table1[[#This Row],[Required_Qty]]&lt;Table1[[#This Row],[Available_Qty]],Table1[[#This Row],[Available_Qty]]-Table1[[#This Row],[Required_Qty]],0)</f>
        <v>27</v>
      </c>
      <c r="N290">
        <v>153408</v>
      </c>
      <c r="O290" s="7">
        <f>IF(AND(Table1[[#This Row],[Clean_Shortage]]&gt;0,Table1[[#This Row],[Lead_Time_Days]]&gt;10),1,0)</f>
        <v>0</v>
      </c>
    </row>
    <row r="291" spans="1:15" hidden="1" x14ac:dyDescent="0.3">
      <c r="A291" t="s">
        <v>301</v>
      </c>
      <c r="B291" t="s">
        <v>513</v>
      </c>
      <c r="C291" t="s">
        <v>517</v>
      </c>
      <c r="D291">
        <v>11</v>
      </c>
      <c r="E291">
        <v>102</v>
      </c>
      <c r="F291">
        <v>32</v>
      </c>
      <c r="G291">
        <v>8697</v>
      </c>
      <c r="H291">
        <v>9</v>
      </c>
      <c r="I291" s="1">
        <v>45216</v>
      </c>
      <c r="J291" s="7">
        <f>Table1[[#This Row],[Required_Qty]]-Table1[[#This Row],[Available_Qty]]</f>
        <v>-91</v>
      </c>
      <c r="K291" s="7">
        <v>91</v>
      </c>
      <c r="L291" s="7">
        <f>IF(Table1[[#This Row],[Required_Qty]]&gt;Table1[[#This Row],[Available_Qty]],Table1[[#This Row],[Required_Qty]]-Table1[[#This Row],[Available_Qty]],0)</f>
        <v>0</v>
      </c>
      <c r="M291" s="7">
        <f>IF(Table1[[#This Row],[Required_Qty]]&lt;Table1[[#This Row],[Available_Qty]],Table1[[#This Row],[Available_Qty]]-Table1[[#This Row],[Required_Qty]],0)</f>
        <v>91</v>
      </c>
      <c r="N291">
        <v>278304</v>
      </c>
      <c r="O291" s="7">
        <f>IF(AND(Table1[[#This Row],[Clean_Shortage]]&gt;0,Table1[[#This Row],[Lead_Time_Days]]&gt;10),1,0)</f>
        <v>0</v>
      </c>
    </row>
    <row r="292" spans="1:15" x14ac:dyDescent="0.3">
      <c r="A292" t="s">
        <v>302</v>
      </c>
      <c r="B292" t="s">
        <v>514</v>
      </c>
      <c r="C292" t="s">
        <v>518</v>
      </c>
      <c r="D292">
        <v>36</v>
      </c>
      <c r="E292">
        <v>29</v>
      </c>
      <c r="F292">
        <v>50</v>
      </c>
      <c r="G292">
        <v>3196</v>
      </c>
      <c r="H292">
        <v>12</v>
      </c>
      <c r="I292" s="1">
        <v>45217</v>
      </c>
      <c r="J292" s="7">
        <f>Table1[[#This Row],[Required_Qty]]-Table1[[#This Row],[Available_Qty]]</f>
        <v>7</v>
      </c>
      <c r="K292" s="7">
        <v>-7</v>
      </c>
      <c r="L292" s="7">
        <f>IF(Table1[[#This Row],[Required_Qty]]&gt;Table1[[#This Row],[Available_Qty]],Table1[[#This Row],[Required_Qty]]-Table1[[#This Row],[Available_Qty]],0)</f>
        <v>7</v>
      </c>
      <c r="M292" s="7">
        <f>IF(Table1[[#This Row],[Required_Qty]]&lt;Table1[[#This Row],[Available_Qty]],Table1[[#This Row],[Available_Qty]]-Table1[[#This Row],[Required_Qty]],0)</f>
        <v>0</v>
      </c>
      <c r="N292">
        <v>159800</v>
      </c>
      <c r="O292" s="7">
        <f>IF(AND(Table1[[#This Row],[Clean_Shortage]]&gt;0,Table1[[#This Row],[Lead_Time_Days]]&gt;10),1,0)</f>
        <v>1</v>
      </c>
    </row>
    <row r="293" spans="1:15" hidden="1" x14ac:dyDescent="0.3">
      <c r="A293" t="s">
        <v>303</v>
      </c>
      <c r="B293" t="s">
        <v>512</v>
      </c>
      <c r="C293" t="s">
        <v>517</v>
      </c>
      <c r="D293">
        <v>45</v>
      </c>
      <c r="E293">
        <v>75</v>
      </c>
      <c r="F293">
        <v>77</v>
      </c>
      <c r="G293">
        <v>8165</v>
      </c>
      <c r="H293">
        <v>3</v>
      </c>
      <c r="I293" s="1">
        <v>45218</v>
      </c>
      <c r="J293" s="7">
        <f>Table1[[#This Row],[Required_Qty]]-Table1[[#This Row],[Available_Qty]]</f>
        <v>-30</v>
      </c>
      <c r="K293" s="7">
        <v>30</v>
      </c>
      <c r="L293" s="7">
        <f>IF(Table1[[#This Row],[Required_Qty]]&gt;Table1[[#This Row],[Available_Qty]],Table1[[#This Row],[Required_Qty]]-Table1[[#This Row],[Available_Qty]],0)</f>
        <v>0</v>
      </c>
      <c r="M293" s="7">
        <f>IF(Table1[[#This Row],[Required_Qty]]&lt;Table1[[#This Row],[Available_Qty]],Table1[[#This Row],[Available_Qty]]-Table1[[#This Row],[Required_Qty]],0)</f>
        <v>30</v>
      </c>
      <c r="N293">
        <v>628705</v>
      </c>
      <c r="O293" s="7">
        <f>IF(AND(Table1[[#This Row],[Clean_Shortage]]&gt;0,Table1[[#This Row],[Lead_Time_Days]]&gt;10),1,0)</f>
        <v>0</v>
      </c>
    </row>
    <row r="294" spans="1:15" hidden="1" x14ac:dyDescent="0.3">
      <c r="A294" t="s">
        <v>304</v>
      </c>
      <c r="B294" t="s">
        <v>514</v>
      </c>
      <c r="C294" t="s">
        <v>516</v>
      </c>
      <c r="D294">
        <v>45</v>
      </c>
      <c r="E294">
        <v>56</v>
      </c>
      <c r="F294">
        <v>11</v>
      </c>
      <c r="G294">
        <v>1301</v>
      </c>
      <c r="H294">
        <v>4</v>
      </c>
      <c r="I294" s="1">
        <v>45219</v>
      </c>
      <c r="J294" s="7">
        <f>Table1[[#This Row],[Required_Qty]]-Table1[[#This Row],[Available_Qty]]</f>
        <v>-11</v>
      </c>
      <c r="K294" s="7">
        <v>11</v>
      </c>
      <c r="L294" s="7">
        <f>IF(Table1[[#This Row],[Required_Qty]]&gt;Table1[[#This Row],[Available_Qty]],Table1[[#This Row],[Required_Qty]]-Table1[[#This Row],[Available_Qty]],0)</f>
        <v>0</v>
      </c>
      <c r="M294" s="7">
        <f>IF(Table1[[#This Row],[Required_Qty]]&lt;Table1[[#This Row],[Available_Qty]],Table1[[#This Row],[Available_Qty]]-Table1[[#This Row],[Required_Qty]],0)</f>
        <v>11</v>
      </c>
      <c r="N294">
        <v>14311</v>
      </c>
      <c r="O294" s="7">
        <f>IF(AND(Table1[[#This Row],[Clean_Shortage]]&gt;0,Table1[[#This Row],[Lead_Time_Days]]&gt;10),1,0)</f>
        <v>0</v>
      </c>
    </row>
    <row r="295" spans="1:15" x14ac:dyDescent="0.3">
      <c r="A295" t="s">
        <v>305</v>
      </c>
      <c r="B295" t="s">
        <v>515</v>
      </c>
      <c r="C295" t="s">
        <v>516</v>
      </c>
      <c r="D295">
        <v>35</v>
      </c>
      <c r="E295">
        <v>8</v>
      </c>
      <c r="F295">
        <v>19</v>
      </c>
      <c r="G295">
        <v>8527</v>
      </c>
      <c r="H295">
        <v>14</v>
      </c>
      <c r="I295" s="1">
        <v>45220</v>
      </c>
      <c r="J295" s="7">
        <f>Table1[[#This Row],[Required_Qty]]-Table1[[#This Row],[Available_Qty]]</f>
        <v>27</v>
      </c>
      <c r="K295" s="7">
        <v>-27</v>
      </c>
      <c r="L295" s="7">
        <f>IF(Table1[[#This Row],[Required_Qty]]&gt;Table1[[#This Row],[Available_Qty]],Table1[[#This Row],[Required_Qty]]-Table1[[#This Row],[Available_Qty]],0)</f>
        <v>27</v>
      </c>
      <c r="M295" s="7">
        <f>IF(Table1[[#This Row],[Required_Qty]]&lt;Table1[[#This Row],[Available_Qty]],Table1[[#This Row],[Available_Qty]]-Table1[[#This Row],[Required_Qty]],0)</f>
        <v>0</v>
      </c>
      <c r="N295">
        <v>162013</v>
      </c>
      <c r="O295" s="7">
        <f>IF(AND(Table1[[#This Row],[Clean_Shortage]]&gt;0,Table1[[#This Row],[Lead_Time_Days]]&gt;10),1,0)</f>
        <v>1</v>
      </c>
    </row>
    <row r="296" spans="1:15" hidden="1" x14ac:dyDescent="0.3">
      <c r="A296" t="s">
        <v>306</v>
      </c>
      <c r="B296" t="s">
        <v>515</v>
      </c>
      <c r="C296" t="s">
        <v>517</v>
      </c>
      <c r="D296">
        <v>52</v>
      </c>
      <c r="E296">
        <v>63</v>
      </c>
      <c r="F296">
        <v>52</v>
      </c>
      <c r="G296">
        <v>7381</v>
      </c>
      <c r="H296">
        <v>8</v>
      </c>
      <c r="I296" s="1">
        <v>45221</v>
      </c>
      <c r="J296" s="7">
        <f>Table1[[#This Row],[Required_Qty]]-Table1[[#This Row],[Available_Qty]]</f>
        <v>-11</v>
      </c>
      <c r="K296" s="7">
        <v>11</v>
      </c>
      <c r="L296" s="7">
        <f>IF(Table1[[#This Row],[Required_Qty]]&gt;Table1[[#This Row],[Available_Qty]],Table1[[#This Row],[Required_Qty]]-Table1[[#This Row],[Available_Qty]],0)</f>
        <v>0</v>
      </c>
      <c r="M296" s="7">
        <f>IF(Table1[[#This Row],[Required_Qty]]&lt;Table1[[#This Row],[Available_Qty]],Table1[[#This Row],[Available_Qty]]-Table1[[#This Row],[Required_Qty]],0)</f>
        <v>11</v>
      </c>
      <c r="N296">
        <v>383812</v>
      </c>
      <c r="O296" s="7">
        <f>IF(AND(Table1[[#This Row],[Clean_Shortage]]&gt;0,Table1[[#This Row],[Lead_Time_Days]]&gt;10),1,0)</f>
        <v>0</v>
      </c>
    </row>
    <row r="297" spans="1:15" hidden="1" x14ac:dyDescent="0.3">
      <c r="A297" t="s">
        <v>307</v>
      </c>
      <c r="B297" t="s">
        <v>513</v>
      </c>
      <c r="C297" t="s">
        <v>517</v>
      </c>
      <c r="D297">
        <v>36</v>
      </c>
      <c r="E297">
        <v>76</v>
      </c>
      <c r="F297">
        <v>42</v>
      </c>
      <c r="G297">
        <v>1646</v>
      </c>
      <c r="H297">
        <v>6</v>
      </c>
      <c r="I297" s="1">
        <v>45222</v>
      </c>
      <c r="J297" s="7">
        <f>Table1[[#This Row],[Required_Qty]]-Table1[[#This Row],[Available_Qty]]</f>
        <v>-40</v>
      </c>
      <c r="K297" s="7">
        <v>40</v>
      </c>
      <c r="L297" s="7">
        <f>IF(Table1[[#This Row],[Required_Qty]]&gt;Table1[[#This Row],[Available_Qty]],Table1[[#This Row],[Required_Qty]]-Table1[[#This Row],[Available_Qty]],0)</f>
        <v>0</v>
      </c>
      <c r="M297" s="7">
        <f>IF(Table1[[#This Row],[Required_Qty]]&lt;Table1[[#This Row],[Available_Qty]],Table1[[#This Row],[Available_Qty]]-Table1[[#This Row],[Required_Qty]],0)</f>
        <v>40</v>
      </c>
      <c r="N297">
        <v>69132</v>
      </c>
      <c r="O297" s="7">
        <f>IF(AND(Table1[[#This Row],[Clean_Shortage]]&gt;0,Table1[[#This Row],[Lead_Time_Days]]&gt;10),1,0)</f>
        <v>0</v>
      </c>
    </row>
    <row r="298" spans="1:15" hidden="1" x14ac:dyDescent="0.3">
      <c r="A298" t="s">
        <v>308</v>
      </c>
      <c r="B298" t="s">
        <v>515</v>
      </c>
      <c r="C298" t="s">
        <v>518</v>
      </c>
      <c r="D298">
        <v>78</v>
      </c>
      <c r="E298">
        <v>24</v>
      </c>
      <c r="F298">
        <v>49</v>
      </c>
      <c r="G298">
        <v>9789</v>
      </c>
      <c r="H298">
        <v>5</v>
      </c>
      <c r="I298" s="1">
        <v>45223</v>
      </c>
      <c r="J298" s="7">
        <f>Table1[[#This Row],[Required_Qty]]-Table1[[#This Row],[Available_Qty]]</f>
        <v>54</v>
      </c>
      <c r="K298" s="7">
        <v>-54</v>
      </c>
      <c r="L298" s="7">
        <f>IF(Table1[[#This Row],[Required_Qty]]&gt;Table1[[#This Row],[Available_Qty]],Table1[[#This Row],[Required_Qty]]-Table1[[#This Row],[Available_Qty]],0)</f>
        <v>54</v>
      </c>
      <c r="M298" s="7">
        <f>IF(Table1[[#This Row],[Required_Qty]]&lt;Table1[[#This Row],[Available_Qty]],Table1[[#This Row],[Available_Qty]]-Table1[[#This Row],[Required_Qty]],0)</f>
        <v>0</v>
      </c>
      <c r="N298">
        <v>479661</v>
      </c>
      <c r="O298" s="7">
        <f>IF(AND(Table1[[#This Row],[Clean_Shortage]]&gt;0,Table1[[#This Row],[Lead_Time_Days]]&gt;10),1,0)</f>
        <v>0</v>
      </c>
    </row>
    <row r="299" spans="1:15" hidden="1" x14ac:dyDescent="0.3">
      <c r="A299" t="s">
        <v>309</v>
      </c>
      <c r="B299" t="s">
        <v>512</v>
      </c>
      <c r="C299" t="s">
        <v>516</v>
      </c>
      <c r="D299">
        <v>29</v>
      </c>
      <c r="E299">
        <v>97</v>
      </c>
      <c r="F299">
        <v>28</v>
      </c>
      <c r="G299">
        <v>9853</v>
      </c>
      <c r="H299">
        <v>13</v>
      </c>
      <c r="I299" s="1">
        <v>45224</v>
      </c>
      <c r="J299" s="7">
        <f>Table1[[#This Row],[Required_Qty]]-Table1[[#This Row],[Available_Qty]]</f>
        <v>-68</v>
      </c>
      <c r="K299" s="7">
        <v>68</v>
      </c>
      <c r="L299" s="7">
        <f>IF(Table1[[#This Row],[Required_Qty]]&gt;Table1[[#This Row],[Available_Qty]],Table1[[#This Row],[Required_Qty]]-Table1[[#This Row],[Available_Qty]],0)</f>
        <v>0</v>
      </c>
      <c r="M299" s="7">
        <f>IF(Table1[[#This Row],[Required_Qty]]&lt;Table1[[#This Row],[Available_Qty]],Table1[[#This Row],[Available_Qty]]-Table1[[#This Row],[Required_Qty]],0)</f>
        <v>68</v>
      </c>
      <c r="N299">
        <v>275884</v>
      </c>
      <c r="O299" s="7">
        <f>IF(AND(Table1[[#This Row],[Clean_Shortage]]&gt;0,Table1[[#This Row],[Lead_Time_Days]]&gt;10),1,0)</f>
        <v>0</v>
      </c>
    </row>
    <row r="300" spans="1:15" hidden="1" x14ac:dyDescent="0.3">
      <c r="A300" t="s">
        <v>310</v>
      </c>
      <c r="B300" t="s">
        <v>514</v>
      </c>
      <c r="C300" t="s">
        <v>516</v>
      </c>
      <c r="D300">
        <v>20</v>
      </c>
      <c r="E300">
        <v>67</v>
      </c>
      <c r="F300">
        <v>56</v>
      </c>
      <c r="G300">
        <v>5330</v>
      </c>
      <c r="H300">
        <v>4</v>
      </c>
      <c r="I300" s="1">
        <v>45225</v>
      </c>
      <c r="J300" s="7">
        <f>Table1[[#This Row],[Required_Qty]]-Table1[[#This Row],[Available_Qty]]</f>
        <v>-47</v>
      </c>
      <c r="K300" s="7">
        <v>47</v>
      </c>
      <c r="L300" s="7">
        <f>IF(Table1[[#This Row],[Required_Qty]]&gt;Table1[[#This Row],[Available_Qty]],Table1[[#This Row],[Required_Qty]]-Table1[[#This Row],[Available_Qty]],0)</f>
        <v>0</v>
      </c>
      <c r="M300" s="7">
        <f>IF(Table1[[#This Row],[Required_Qty]]&lt;Table1[[#This Row],[Available_Qty]],Table1[[#This Row],[Available_Qty]]-Table1[[#This Row],[Required_Qty]],0)</f>
        <v>47</v>
      </c>
      <c r="N300">
        <v>298480</v>
      </c>
      <c r="O300" s="7">
        <f>IF(AND(Table1[[#This Row],[Clean_Shortage]]&gt;0,Table1[[#This Row],[Lead_Time_Days]]&gt;10),1,0)</f>
        <v>0</v>
      </c>
    </row>
    <row r="301" spans="1:15" hidden="1" x14ac:dyDescent="0.3">
      <c r="A301" t="s">
        <v>311</v>
      </c>
      <c r="B301" t="s">
        <v>513</v>
      </c>
      <c r="C301" t="s">
        <v>517</v>
      </c>
      <c r="D301">
        <v>83</v>
      </c>
      <c r="E301">
        <v>58</v>
      </c>
      <c r="F301">
        <v>38</v>
      </c>
      <c r="G301">
        <v>8003</v>
      </c>
      <c r="H301">
        <v>8</v>
      </c>
      <c r="I301" s="1">
        <v>45226</v>
      </c>
      <c r="J301" s="7">
        <f>Table1[[#This Row],[Required_Qty]]-Table1[[#This Row],[Available_Qty]]</f>
        <v>25</v>
      </c>
      <c r="K301" s="7">
        <v>-25</v>
      </c>
      <c r="L301" s="7">
        <f>IF(Table1[[#This Row],[Required_Qty]]&gt;Table1[[#This Row],[Available_Qty]],Table1[[#This Row],[Required_Qty]]-Table1[[#This Row],[Available_Qty]],0)</f>
        <v>25</v>
      </c>
      <c r="M301" s="7">
        <f>IF(Table1[[#This Row],[Required_Qty]]&lt;Table1[[#This Row],[Available_Qty]],Table1[[#This Row],[Available_Qty]]-Table1[[#This Row],[Required_Qty]],0)</f>
        <v>0</v>
      </c>
      <c r="N301">
        <v>304114</v>
      </c>
      <c r="O301" s="7">
        <f>IF(AND(Table1[[#This Row],[Clean_Shortage]]&gt;0,Table1[[#This Row],[Lead_Time_Days]]&gt;10),1,0)</f>
        <v>0</v>
      </c>
    </row>
    <row r="302" spans="1:15" hidden="1" x14ac:dyDescent="0.3">
      <c r="A302" t="s">
        <v>312</v>
      </c>
      <c r="B302" t="s">
        <v>514</v>
      </c>
      <c r="C302" t="s">
        <v>518</v>
      </c>
      <c r="D302">
        <v>47</v>
      </c>
      <c r="E302">
        <v>119</v>
      </c>
      <c r="F302">
        <v>55</v>
      </c>
      <c r="G302">
        <v>4537</v>
      </c>
      <c r="H302">
        <v>1</v>
      </c>
      <c r="I302" s="1">
        <v>45227</v>
      </c>
      <c r="J302" s="7">
        <f>Table1[[#This Row],[Required_Qty]]-Table1[[#This Row],[Available_Qty]]</f>
        <v>-72</v>
      </c>
      <c r="K302" s="7">
        <v>72</v>
      </c>
      <c r="L302" s="7">
        <f>IF(Table1[[#This Row],[Required_Qty]]&gt;Table1[[#This Row],[Available_Qty]],Table1[[#This Row],[Required_Qty]]-Table1[[#This Row],[Available_Qty]],0)</f>
        <v>0</v>
      </c>
      <c r="M302" s="7">
        <f>IF(Table1[[#This Row],[Required_Qty]]&lt;Table1[[#This Row],[Available_Qty]],Table1[[#This Row],[Available_Qty]]-Table1[[#This Row],[Required_Qty]],0)</f>
        <v>72</v>
      </c>
      <c r="N302">
        <v>249535</v>
      </c>
      <c r="O302" s="7">
        <f>IF(AND(Table1[[#This Row],[Clean_Shortage]]&gt;0,Table1[[#This Row],[Lead_Time_Days]]&gt;10),1,0)</f>
        <v>0</v>
      </c>
    </row>
    <row r="303" spans="1:15" hidden="1" x14ac:dyDescent="0.3">
      <c r="A303" t="s">
        <v>313</v>
      </c>
      <c r="B303" t="s">
        <v>514</v>
      </c>
      <c r="C303" t="s">
        <v>516</v>
      </c>
      <c r="D303">
        <v>15</v>
      </c>
      <c r="E303">
        <v>113</v>
      </c>
      <c r="F303">
        <v>42</v>
      </c>
      <c r="G303">
        <v>5558</v>
      </c>
      <c r="H303">
        <v>14</v>
      </c>
      <c r="I303" s="1">
        <v>45228</v>
      </c>
      <c r="J303" s="7">
        <f>Table1[[#This Row],[Required_Qty]]-Table1[[#This Row],[Available_Qty]]</f>
        <v>-98</v>
      </c>
      <c r="K303" s="7">
        <v>98</v>
      </c>
      <c r="L303" s="7">
        <f>IF(Table1[[#This Row],[Required_Qty]]&gt;Table1[[#This Row],[Available_Qty]],Table1[[#This Row],[Required_Qty]]-Table1[[#This Row],[Available_Qty]],0)</f>
        <v>0</v>
      </c>
      <c r="M303" s="7">
        <f>IF(Table1[[#This Row],[Required_Qty]]&lt;Table1[[#This Row],[Available_Qty]],Table1[[#This Row],[Available_Qty]]-Table1[[#This Row],[Required_Qty]],0)</f>
        <v>98</v>
      </c>
      <c r="N303">
        <v>233436</v>
      </c>
      <c r="O303" s="7">
        <f>IF(AND(Table1[[#This Row],[Clean_Shortage]]&gt;0,Table1[[#This Row],[Lead_Time_Days]]&gt;10),1,0)</f>
        <v>0</v>
      </c>
    </row>
    <row r="304" spans="1:15" hidden="1" x14ac:dyDescent="0.3">
      <c r="A304" t="s">
        <v>314</v>
      </c>
      <c r="B304" t="s">
        <v>512</v>
      </c>
      <c r="C304" t="s">
        <v>516</v>
      </c>
      <c r="D304">
        <v>81</v>
      </c>
      <c r="E304">
        <v>114</v>
      </c>
      <c r="F304">
        <v>49</v>
      </c>
      <c r="G304">
        <v>7579</v>
      </c>
      <c r="H304">
        <v>9</v>
      </c>
      <c r="I304" s="1">
        <v>45229</v>
      </c>
      <c r="J304" s="7">
        <f>Table1[[#This Row],[Required_Qty]]-Table1[[#This Row],[Available_Qty]]</f>
        <v>-33</v>
      </c>
      <c r="K304" s="7">
        <v>33</v>
      </c>
      <c r="L304" s="7">
        <f>IF(Table1[[#This Row],[Required_Qty]]&gt;Table1[[#This Row],[Available_Qty]],Table1[[#This Row],[Required_Qty]]-Table1[[#This Row],[Available_Qty]],0)</f>
        <v>0</v>
      </c>
      <c r="M304" s="7">
        <f>IF(Table1[[#This Row],[Required_Qty]]&lt;Table1[[#This Row],[Available_Qty]],Table1[[#This Row],[Available_Qty]]-Table1[[#This Row],[Required_Qty]],0)</f>
        <v>33</v>
      </c>
      <c r="N304">
        <v>371371</v>
      </c>
      <c r="O304" s="7">
        <f>IF(AND(Table1[[#This Row],[Clean_Shortage]]&gt;0,Table1[[#This Row],[Lead_Time_Days]]&gt;10),1,0)</f>
        <v>0</v>
      </c>
    </row>
    <row r="305" spans="1:15" hidden="1" x14ac:dyDescent="0.3">
      <c r="A305" t="s">
        <v>315</v>
      </c>
      <c r="B305" t="s">
        <v>515</v>
      </c>
      <c r="C305" t="s">
        <v>518</v>
      </c>
      <c r="D305">
        <v>32</v>
      </c>
      <c r="E305">
        <v>78</v>
      </c>
      <c r="F305">
        <v>22</v>
      </c>
      <c r="G305">
        <v>9474</v>
      </c>
      <c r="H305">
        <v>1</v>
      </c>
      <c r="I305" s="1">
        <v>45230</v>
      </c>
      <c r="J305" s="7">
        <f>Table1[[#This Row],[Required_Qty]]-Table1[[#This Row],[Available_Qty]]</f>
        <v>-46</v>
      </c>
      <c r="K305" s="7">
        <v>46</v>
      </c>
      <c r="L305" s="7">
        <f>IF(Table1[[#This Row],[Required_Qty]]&gt;Table1[[#This Row],[Available_Qty]],Table1[[#This Row],[Required_Qty]]-Table1[[#This Row],[Available_Qty]],0)</f>
        <v>0</v>
      </c>
      <c r="M305" s="7">
        <f>IF(Table1[[#This Row],[Required_Qty]]&lt;Table1[[#This Row],[Available_Qty]],Table1[[#This Row],[Available_Qty]]-Table1[[#This Row],[Required_Qty]],0)</f>
        <v>46</v>
      </c>
      <c r="N305">
        <v>208428</v>
      </c>
      <c r="O305" s="7">
        <f>IF(AND(Table1[[#This Row],[Clean_Shortage]]&gt;0,Table1[[#This Row],[Lead_Time_Days]]&gt;10),1,0)</f>
        <v>0</v>
      </c>
    </row>
    <row r="306" spans="1:15" hidden="1" x14ac:dyDescent="0.3">
      <c r="A306" t="s">
        <v>316</v>
      </c>
      <c r="B306" t="s">
        <v>515</v>
      </c>
      <c r="C306" t="s">
        <v>518</v>
      </c>
      <c r="D306">
        <v>56</v>
      </c>
      <c r="E306">
        <v>111</v>
      </c>
      <c r="F306">
        <v>43</v>
      </c>
      <c r="G306">
        <v>5082</v>
      </c>
      <c r="H306">
        <v>8</v>
      </c>
      <c r="I306" s="1">
        <v>45231</v>
      </c>
      <c r="J306" s="7">
        <f>Table1[[#This Row],[Required_Qty]]-Table1[[#This Row],[Available_Qty]]</f>
        <v>-55</v>
      </c>
      <c r="K306" s="7">
        <v>55</v>
      </c>
      <c r="L306" s="7">
        <f>IF(Table1[[#This Row],[Required_Qty]]&gt;Table1[[#This Row],[Available_Qty]],Table1[[#This Row],[Required_Qty]]-Table1[[#This Row],[Available_Qty]],0)</f>
        <v>0</v>
      </c>
      <c r="M306" s="7">
        <f>IF(Table1[[#This Row],[Required_Qty]]&lt;Table1[[#This Row],[Available_Qty]],Table1[[#This Row],[Available_Qty]]-Table1[[#This Row],[Required_Qty]],0)</f>
        <v>55</v>
      </c>
      <c r="N306">
        <v>218526</v>
      </c>
      <c r="O306" s="7">
        <f>IF(AND(Table1[[#This Row],[Clean_Shortage]]&gt;0,Table1[[#This Row],[Lead_Time_Days]]&gt;10),1,0)</f>
        <v>0</v>
      </c>
    </row>
    <row r="307" spans="1:15" hidden="1" x14ac:dyDescent="0.3">
      <c r="A307" t="s">
        <v>317</v>
      </c>
      <c r="B307" t="s">
        <v>514</v>
      </c>
      <c r="C307" t="s">
        <v>516</v>
      </c>
      <c r="D307">
        <v>99</v>
      </c>
      <c r="E307">
        <v>102</v>
      </c>
      <c r="F307">
        <v>37</v>
      </c>
      <c r="G307">
        <v>5183</v>
      </c>
      <c r="H307">
        <v>4</v>
      </c>
      <c r="I307" s="1">
        <v>45232</v>
      </c>
      <c r="J307" s="7">
        <f>Table1[[#This Row],[Required_Qty]]-Table1[[#This Row],[Available_Qty]]</f>
        <v>-3</v>
      </c>
      <c r="K307" s="7">
        <v>3</v>
      </c>
      <c r="L307" s="7">
        <f>IF(Table1[[#This Row],[Required_Qty]]&gt;Table1[[#This Row],[Available_Qty]],Table1[[#This Row],[Required_Qty]]-Table1[[#This Row],[Available_Qty]],0)</f>
        <v>0</v>
      </c>
      <c r="M307" s="7">
        <f>IF(Table1[[#This Row],[Required_Qty]]&lt;Table1[[#This Row],[Available_Qty]],Table1[[#This Row],[Available_Qty]]-Table1[[#This Row],[Required_Qty]],0)</f>
        <v>3</v>
      </c>
      <c r="N307">
        <v>191771</v>
      </c>
      <c r="O307" s="7">
        <f>IF(AND(Table1[[#This Row],[Clean_Shortage]]&gt;0,Table1[[#This Row],[Lead_Time_Days]]&gt;10),1,0)</f>
        <v>0</v>
      </c>
    </row>
    <row r="308" spans="1:15" hidden="1" x14ac:dyDescent="0.3">
      <c r="A308" t="s">
        <v>318</v>
      </c>
      <c r="B308" t="s">
        <v>513</v>
      </c>
      <c r="C308" t="s">
        <v>516</v>
      </c>
      <c r="D308">
        <v>55</v>
      </c>
      <c r="E308">
        <v>61</v>
      </c>
      <c r="F308">
        <v>22</v>
      </c>
      <c r="G308">
        <v>9652</v>
      </c>
      <c r="H308">
        <v>9</v>
      </c>
      <c r="I308" s="1">
        <v>45233</v>
      </c>
      <c r="J308" s="7">
        <f>Table1[[#This Row],[Required_Qty]]-Table1[[#This Row],[Available_Qty]]</f>
        <v>-6</v>
      </c>
      <c r="K308" s="7">
        <v>6</v>
      </c>
      <c r="L308" s="7">
        <f>IF(Table1[[#This Row],[Required_Qty]]&gt;Table1[[#This Row],[Available_Qty]],Table1[[#This Row],[Required_Qty]]-Table1[[#This Row],[Available_Qty]],0)</f>
        <v>0</v>
      </c>
      <c r="M308" s="7">
        <f>IF(Table1[[#This Row],[Required_Qty]]&lt;Table1[[#This Row],[Available_Qty]],Table1[[#This Row],[Available_Qty]]-Table1[[#This Row],[Required_Qty]],0)</f>
        <v>6</v>
      </c>
      <c r="N308">
        <v>212344</v>
      </c>
      <c r="O308" s="7">
        <f>IF(AND(Table1[[#This Row],[Clean_Shortage]]&gt;0,Table1[[#This Row],[Lead_Time_Days]]&gt;10),1,0)</f>
        <v>0</v>
      </c>
    </row>
    <row r="309" spans="1:15" hidden="1" x14ac:dyDescent="0.3">
      <c r="A309" t="s">
        <v>319</v>
      </c>
      <c r="B309" t="s">
        <v>515</v>
      </c>
      <c r="C309" t="s">
        <v>518</v>
      </c>
      <c r="D309">
        <v>21</v>
      </c>
      <c r="E309">
        <v>94</v>
      </c>
      <c r="F309">
        <v>44</v>
      </c>
      <c r="G309">
        <v>4754</v>
      </c>
      <c r="H309">
        <v>14</v>
      </c>
      <c r="I309" s="1">
        <v>45234</v>
      </c>
      <c r="J309" s="7">
        <f>Table1[[#This Row],[Required_Qty]]-Table1[[#This Row],[Available_Qty]]</f>
        <v>-73</v>
      </c>
      <c r="K309" s="7">
        <v>73</v>
      </c>
      <c r="L309" s="7">
        <f>IF(Table1[[#This Row],[Required_Qty]]&gt;Table1[[#This Row],[Available_Qty]],Table1[[#This Row],[Required_Qty]]-Table1[[#This Row],[Available_Qty]],0)</f>
        <v>0</v>
      </c>
      <c r="M309" s="7">
        <f>IF(Table1[[#This Row],[Required_Qty]]&lt;Table1[[#This Row],[Available_Qty]],Table1[[#This Row],[Available_Qty]]-Table1[[#This Row],[Required_Qty]],0)</f>
        <v>73</v>
      </c>
      <c r="N309">
        <v>209176</v>
      </c>
      <c r="O309" s="7">
        <f>IF(AND(Table1[[#This Row],[Clean_Shortage]]&gt;0,Table1[[#This Row],[Lead_Time_Days]]&gt;10),1,0)</f>
        <v>0</v>
      </c>
    </row>
    <row r="310" spans="1:15" x14ac:dyDescent="0.3">
      <c r="A310" t="s">
        <v>320</v>
      </c>
      <c r="B310" t="s">
        <v>513</v>
      </c>
      <c r="C310" t="s">
        <v>516</v>
      </c>
      <c r="D310">
        <v>99</v>
      </c>
      <c r="E310">
        <v>45</v>
      </c>
      <c r="F310">
        <v>51</v>
      </c>
      <c r="G310">
        <v>2724</v>
      </c>
      <c r="H310">
        <v>11</v>
      </c>
      <c r="I310" s="1">
        <v>45235</v>
      </c>
      <c r="J310" s="7">
        <f>Table1[[#This Row],[Required_Qty]]-Table1[[#This Row],[Available_Qty]]</f>
        <v>54</v>
      </c>
      <c r="K310" s="7">
        <v>-54</v>
      </c>
      <c r="L310" s="7">
        <f>IF(Table1[[#This Row],[Required_Qty]]&gt;Table1[[#This Row],[Available_Qty]],Table1[[#This Row],[Required_Qty]]-Table1[[#This Row],[Available_Qty]],0)</f>
        <v>54</v>
      </c>
      <c r="M310" s="7">
        <f>IF(Table1[[#This Row],[Required_Qty]]&lt;Table1[[#This Row],[Available_Qty]],Table1[[#This Row],[Available_Qty]]-Table1[[#This Row],[Required_Qty]],0)</f>
        <v>0</v>
      </c>
      <c r="N310">
        <v>138924</v>
      </c>
      <c r="O310" s="7">
        <f>IF(AND(Table1[[#This Row],[Clean_Shortage]]&gt;0,Table1[[#This Row],[Lead_Time_Days]]&gt;10),1,0)</f>
        <v>1</v>
      </c>
    </row>
    <row r="311" spans="1:15" hidden="1" x14ac:dyDescent="0.3">
      <c r="A311" t="s">
        <v>321</v>
      </c>
      <c r="B311" t="s">
        <v>515</v>
      </c>
      <c r="C311" t="s">
        <v>517</v>
      </c>
      <c r="D311">
        <v>22</v>
      </c>
      <c r="E311">
        <v>117</v>
      </c>
      <c r="F311">
        <v>79</v>
      </c>
      <c r="G311">
        <v>2376</v>
      </c>
      <c r="H311">
        <v>5</v>
      </c>
      <c r="I311" s="1">
        <v>45236</v>
      </c>
      <c r="J311" s="7">
        <f>Table1[[#This Row],[Required_Qty]]-Table1[[#This Row],[Available_Qty]]</f>
        <v>-95</v>
      </c>
      <c r="K311" s="7">
        <v>95</v>
      </c>
      <c r="L311" s="7">
        <f>IF(Table1[[#This Row],[Required_Qty]]&gt;Table1[[#This Row],[Available_Qty]],Table1[[#This Row],[Required_Qty]]-Table1[[#This Row],[Available_Qty]],0)</f>
        <v>0</v>
      </c>
      <c r="M311" s="7">
        <f>IF(Table1[[#This Row],[Required_Qty]]&lt;Table1[[#This Row],[Available_Qty]],Table1[[#This Row],[Available_Qty]]-Table1[[#This Row],[Required_Qty]],0)</f>
        <v>95</v>
      </c>
      <c r="N311">
        <v>187704</v>
      </c>
      <c r="O311" s="7">
        <f>IF(AND(Table1[[#This Row],[Clean_Shortage]]&gt;0,Table1[[#This Row],[Lead_Time_Days]]&gt;10),1,0)</f>
        <v>0</v>
      </c>
    </row>
    <row r="312" spans="1:15" hidden="1" x14ac:dyDescent="0.3">
      <c r="A312" t="s">
        <v>322</v>
      </c>
      <c r="B312" t="s">
        <v>513</v>
      </c>
      <c r="C312" t="s">
        <v>517</v>
      </c>
      <c r="D312">
        <v>71</v>
      </c>
      <c r="E312">
        <v>7</v>
      </c>
      <c r="F312">
        <v>49</v>
      </c>
      <c r="G312">
        <v>9706</v>
      </c>
      <c r="H312">
        <v>3</v>
      </c>
      <c r="I312" s="1">
        <v>45237</v>
      </c>
      <c r="J312" s="7">
        <f>Table1[[#This Row],[Required_Qty]]-Table1[[#This Row],[Available_Qty]]</f>
        <v>64</v>
      </c>
      <c r="K312" s="7">
        <v>-64</v>
      </c>
      <c r="L312" s="7">
        <f>IF(Table1[[#This Row],[Required_Qty]]&gt;Table1[[#This Row],[Available_Qty]],Table1[[#This Row],[Required_Qty]]-Table1[[#This Row],[Available_Qty]],0)</f>
        <v>64</v>
      </c>
      <c r="M312" s="7">
        <f>IF(Table1[[#This Row],[Required_Qty]]&lt;Table1[[#This Row],[Available_Qty]],Table1[[#This Row],[Available_Qty]]-Table1[[#This Row],[Required_Qty]],0)</f>
        <v>0</v>
      </c>
      <c r="N312">
        <v>475594</v>
      </c>
      <c r="O312" s="7">
        <f>IF(AND(Table1[[#This Row],[Clean_Shortage]]&gt;0,Table1[[#This Row],[Lead_Time_Days]]&gt;10),1,0)</f>
        <v>0</v>
      </c>
    </row>
    <row r="313" spans="1:15" hidden="1" x14ac:dyDescent="0.3">
      <c r="A313" t="s">
        <v>323</v>
      </c>
      <c r="B313" t="s">
        <v>512</v>
      </c>
      <c r="C313" t="s">
        <v>518</v>
      </c>
      <c r="D313">
        <v>91</v>
      </c>
      <c r="E313">
        <v>10</v>
      </c>
      <c r="F313">
        <v>7</v>
      </c>
      <c r="G313">
        <v>9894</v>
      </c>
      <c r="H313">
        <v>9</v>
      </c>
      <c r="I313" s="1">
        <v>45238</v>
      </c>
      <c r="J313" s="7">
        <f>Table1[[#This Row],[Required_Qty]]-Table1[[#This Row],[Available_Qty]]</f>
        <v>81</v>
      </c>
      <c r="K313" s="7">
        <v>-81</v>
      </c>
      <c r="L313" s="7">
        <f>IF(Table1[[#This Row],[Required_Qty]]&gt;Table1[[#This Row],[Available_Qty]],Table1[[#This Row],[Required_Qty]]-Table1[[#This Row],[Available_Qty]],0)</f>
        <v>81</v>
      </c>
      <c r="M313" s="7">
        <f>IF(Table1[[#This Row],[Required_Qty]]&lt;Table1[[#This Row],[Available_Qty]],Table1[[#This Row],[Available_Qty]]-Table1[[#This Row],[Required_Qty]],0)</f>
        <v>0</v>
      </c>
      <c r="N313">
        <v>69258</v>
      </c>
      <c r="O313" s="7">
        <f>IF(AND(Table1[[#This Row],[Clean_Shortage]]&gt;0,Table1[[#This Row],[Lead_Time_Days]]&gt;10),1,0)</f>
        <v>0</v>
      </c>
    </row>
    <row r="314" spans="1:15" x14ac:dyDescent="0.3">
      <c r="A314" t="s">
        <v>324</v>
      </c>
      <c r="B314" t="s">
        <v>513</v>
      </c>
      <c r="C314" t="s">
        <v>518</v>
      </c>
      <c r="D314">
        <v>98</v>
      </c>
      <c r="E314">
        <v>9</v>
      </c>
      <c r="F314">
        <v>0</v>
      </c>
      <c r="G314">
        <v>2653</v>
      </c>
      <c r="H314">
        <v>11</v>
      </c>
      <c r="I314" s="1">
        <v>45239</v>
      </c>
      <c r="J314" s="7">
        <f>Table1[[#This Row],[Required_Qty]]-Table1[[#This Row],[Available_Qty]]</f>
        <v>89</v>
      </c>
      <c r="K314" s="7">
        <v>-89</v>
      </c>
      <c r="L314" s="7">
        <f>IF(Table1[[#This Row],[Required_Qty]]&gt;Table1[[#This Row],[Available_Qty]],Table1[[#This Row],[Required_Qty]]-Table1[[#This Row],[Available_Qty]],0)</f>
        <v>89</v>
      </c>
      <c r="M314" s="7">
        <f>IF(Table1[[#This Row],[Required_Qty]]&lt;Table1[[#This Row],[Available_Qty]],Table1[[#This Row],[Available_Qty]]-Table1[[#This Row],[Required_Qty]],0)</f>
        <v>0</v>
      </c>
      <c r="N314">
        <v>0</v>
      </c>
      <c r="O314" s="7">
        <f>IF(AND(Table1[[#This Row],[Clean_Shortage]]&gt;0,Table1[[#This Row],[Lead_Time_Days]]&gt;10),1,0)</f>
        <v>1</v>
      </c>
    </row>
    <row r="315" spans="1:15" x14ac:dyDescent="0.3">
      <c r="A315" t="s">
        <v>325</v>
      </c>
      <c r="B315" t="s">
        <v>512</v>
      </c>
      <c r="C315" t="s">
        <v>518</v>
      </c>
      <c r="D315">
        <v>69</v>
      </c>
      <c r="E315">
        <v>9</v>
      </c>
      <c r="F315">
        <v>7</v>
      </c>
      <c r="G315">
        <v>3066</v>
      </c>
      <c r="H315">
        <v>14</v>
      </c>
      <c r="I315" s="1">
        <v>45240</v>
      </c>
      <c r="J315" s="7">
        <f>Table1[[#This Row],[Required_Qty]]-Table1[[#This Row],[Available_Qty]]</f>
        <v>60</v>
      </c>
      <c r="K315" s="7">
        <v>-60</v>
      </c>
      <c r="L315" s="7">
        <f>IF(Table1[[#This Row],[Required_Qty]]&gt;Table1[[#This Row],[Available_Qty]],Table1[[#This Row],[Required_Qty]]-Table1[[#This Row],[Available_Qty]],0)</f>
        <v>60</v>
      </c>
      <c r="M315" s="7">
        <f>IF(Table1[[#This Row],[Required_Qty]]&lt;Table1[[#This Row],[Available_Qty]],Table1[[#This Row],[Available_Qty]]-Table1[[#This Row],[Required_Qty]],0)</f>
        <v>0</v>
      </c>
      <c r="N315">
        <v>21462</v>
      </c>
      <c r="O315" s="7">
        <f>IF(AND(Table1[[#This Row],[Clean_Shortage]]&gt;0,Table1[[#This Row],[Lead_Time_Days]]&gt;10),1,0)</f>
        <v>1</v>
      </c>
    </row>
    <row r="316" spans="1:15" hidden="1" x14ac:dyDescent="0.3">
      <c r="A316" t="s">
        <v>326</v>
      </c>
      <c r="B316" t="s">
        <v>512</v>
      </c>
      <c r="C316" t="s">
        <v>517</v>
      </c>
      <c r="D316">
        <v>52</v>
      </c>
      <c r="E316">
        <v>58</v>
      </c>
      <c r="F316">
        <v>28</v>
      </c>
      <c r="G316">
        <v>1022</v>
      </c>
      <c r="H316">
        <v>14</v>
      </c>
      <c r="I316" s="1">
        <v>45241</v>
      </c>
      <c r="J316" s="7">
        <f>Table1[[#This Row],[Required_Qty]]-Table1[[#This Row],[Available_Qty]]</f>
        <v>-6</v>
      </c>
      <c r="K316" s="7">
        <v>6</v>
      </c>
      <c r="L316" s="7">
        <f>IF(Table1[[#This Row],[Required_Qty]]&gt;Table1[[#This Row],[Available_Qty]],Table1[[#This Row],[Required_Qty]]-Table1[[#This Row],[Available_Qty]],0)</f>
        <v>0</v>
      </c>
      <c r="M316" s="7">
        <f>IF(Table1[[#This Row],[Required_Qty]]&lt;Table1[[#This Row],[Available_Qty]],Table1[[#This Row],[Available_Qty]]-Table1[[#This Row],[Required_Qty]],0)</f>
        <v>6</v>
      </c>
      <c r="N316">
        <v>28616</v>
      </c>
      <c r="O316" s="7">
        <f>IF(AND(Table1[[#This Row],[Clean_Shortage]]&gt;0,Table1[[#This Row],[Lead_Time_Days]]&gt;10),1,0)</f>
        <v>0</v>
      </c>
    </row>
    <row r="317" spans="1:15" hidden="1" x14ac:dyDescent="0.3">
      <c r="A317" t="s">
        <v>327</v>
      </c>
      <c r="B317" t="s">
        <v>513</v>
      </c>
      <c r="C317" t="s">
        <v>516</v>
      </c>
      <c r="D317">
        <v>85</v>
      </c>
      <c r="E317">
        <v>51</v>
      </c>
      <c r="F317">
        <v>4</v>
      </c>
      <c r="G317">
        <v>3460</v>
      </c>
      <c r="H317">
        <v>9</v>
      </c>
      <c r="I317" s="1">
        <v>45242</v>
      </c>
      <c r="J317" s="7">
        <f>Table1[[#This Row],[Required_Qty]]-Table1[[#This Row],[Available_Qty]]</f>
        <v>34</v>
      </c>
      <c r="K317" s="7">
        <v>-34</v>
      </c>
      <c r="L317" s="7">
        <f>IF(Table1[[#This Row],[Required_Qty]]&gt;Table1[[#This Row],[Available_Qty]],Table1[[#This Row],[Required_Qty]]-Table1[[#This Row],[Available_Qty]],0)</f>
        <v>34</v>
      </c>
      <c r="M317" s="7">
        <f>IF(Table1[[#This Row],[Required_Qty]]&lt;Table1[[#This Row],[Available_Qty]],Table1[[#This Row],[Available_Qty]]-Table1[[#This Row],[Required_Qty]],0)</f>
        <v>0</v>
      </c>
      <c r="N317">
        <v>13840</v>
      </c>
      <c r="O317" s="7">
        <f>IF(AND(Table1[[#This Row],[Clean_Shortage]]&gt;0,Table1[[#This Row],[Lead_Time_Days]]&gt;10),1,0)</f>
        <v>0</v>
      </c>
    </row>
    <row r="318" spans="1:15" hidden="1" x14ac:dyDescent="0.3">
      <c r="A318" t="s">
        <v>328</v>
      </c>
      <c r="B318" t="s">
        <v>512</v>
      </c>
      <c r="C318" t="s">
        <v>517</v>
      </c>
      <c r="D318">
        <v>77</v>
      </c>
      <c r="E318">
        <v>91</v>
      </c>
      <c r="F318">
        <v>46</v>
      </c>
      <c r="G318">
        <v>6926</v>
      </c>
      <c r="H318">
        <v>4</v>
      </c>
      <c r="I318" s="1">
        <v>45243</v>
      </c>
      <c r="J318" s="7">
        <f>Table1[[#This Row],[Required_Qty]]-Table1[[#This Row],[Available_Qty]]</f>
        <v>-14</v>
      </c>
      <c r="K318" s="7">
        <v>14</v>
      </c>
      <c r="L318" s="7">
        <f>IF(Table1[[#This Row],[Required_Qty]]&gt;Table1[[#This Row],[Available_Qty]],Table1[[#This Row],[Required_Qty]]-Table1[[#This Row],[Available_Qty]],0)</f>
        <v>0</v>
      </c>
      <c r="M318" s="7">
        <f>IF(Table1[[#This Row],[Required_Qty]]&lt;Table1[[#This Row],[Available_Qty]],Table1[[#This Row],[Available_Qty]]-Table1[[#This Row],[Required_Qty]],0)</f>
        <v>14</v>
      </c>
      <c r="N318">
        <v>318596</v>
      </c>
      <c r="O318" s="7">
        <f>IF(AND(Table1[[#This Row],[Clean_Shortage]]&gt;0,Table1[[#This Row],[Lead_Time_Days]]&gt;10),1,0)</f>
        <v>0</v>
      </c>
    </row>
    <row r="319" spans="1:15" hidden="1" x14ac:dyDescent="0.3">
      <c r="A319" t="s">
        <v>329</v>
      </c>
      <c r="B319" t="s">
        <v>514</v>
      </c>
      <c r="C319" t="s">
        <v>516</v>
      </c>
      <c r="D319">
        <v>14</v>
      </c>
      <c r="E319">
        <v>53</v>
      </c>
      <c r="F319">
        <v>33</v>
      </c>
      <c r="G319">
        <v>7251</v>
      </c>
      <c r="H319">
        <v>11</v>
      </c>
      <c r="I319" s="1">
        <v>45244</v>
      </c>
      <c r="J319" s="7">
        <f>Table1[[#This Row],[Required_Qty]]-Table1[[#This Row],[Available_Qty]]</f>
        <v>-39</v>
      </c>
      <c r="K319" s="7">
        <v>39</v>
      </c>
      <c r="L319" s="7">
        <f>IF(Table1[[#This Row],[Required_Qty]]&gt;Table1[[#This Row],[Available_Qty]],Table1[[#This Row],[Required_Qty]]-Table1[[#This Row],[Available_Qty]],0)</f>
        <v>0</v>
      </c>
      <c r="M319" s="7">
        <f>IF(Table1[[#This Row],[Required_Qty]]&lt;Table1[[#This Row],[Available_Qty]],Table1[[#This Row],[Available_Qty]]-Table1[[#This Row],[Required_Qty]],0)</f>
        <v>39</v>
      </c>
      <c r="N319">
        <v>239283</v>
      </c>
      <c r="O319" s="7">
        <f>IF(AND(Table1[[#This Row],[Clean_Shortage]]&gt;0,Table1[[#This Row],[Lead_Time_Days]]&gt;10),1,0)</f>
        <v>0</v>
      </c>
    </row>
    <row r="320" spans="1:15" hidden="1" x14ac:dyDescent="0.3">
      <c r="A320" t="s">
        <v>330</v>
      </c>
      <c r="B320" t="s">
        <v>512</v>
      </c>
      <c r="C320" t="s">
        <v>517</v>
      </c>
      <c r="D320">
        <v>46</v>
      </c>
      <c r="E320">
        <v>13</v>
      </c>
      <c r="F320">
        <v>64</v>
      </c>
      <c r="G320">
        <v>8295</v>
      </c>
      <c r="H320">
        <v>4</v>
      </c>
      <c r="I320" s="1">
        <v>45245</v>
      </c>
      <c r="J320" s="7">
        <f>Table1[[#This Row],[Required_Qty]]-Table1[[#This Row],[Available_Qty]]</f>
        <v>33</v>
      </c>
      <c r="K320" s="7">
        <v>-33</v>
      </c>
      <c r="L320" s="7">
        <f>IF(Table1[[#This Row],[Required_Qty]]&gt;Table1[[#This Row],[Available_Qty]],Table1[[#This Row],[Required_Qty]]-Table1[[#This Row],[Available_Qty]],0)</f>
        <v>33</v>
      </c>
      <c r="M320" s="7">
        <f>IF(Table1[[#This Row],[Required_Qty]]&lt;Table1[[#This Row],[Available_Qty]],Table1[[#This Row],[Available_Qty]]-Table1[[#This Row],[Required_Qty]],0)</f>
        <v>0</v>
      </c>
      <c r="N320">
        <v>530880</v>
      </c>
      <c r="O320" s="7">
        <f>IF(AND(Table1[[#This Row],[Clean_Shortage]]&gt;0,Table1[[#This Row],[Lead_Time_Days]]&gt;10),1,0)</f>
        <v>0</v>
      </c>
    </row>
    <row r="321" spans="1:15" hidden="1" x14ac:dyDescent="0.3">
      <c r="A321" t="s">
        <v>331</v>
      </c>
      <c r="B321" t="s">
        <v>515</v>
      </c>
      <c r="C321" t="s">
        <v>516</v>
      </c>
      <c r="D321">
        <v>81</v>
      </c>
      <c r="E321">
        <v>103</v>
      </c>
      <c r="F321">
        <v>54</v>
      </c>
      <c r="G321">
        <v>4300</v>
      </c>
      <c r="H321">
        <v>12</v>
      </c>
      <c r="I321" s="1">
        <v>45246</v>
      </c>
      <c r="J321" s="7">
        <f>Table1[[#This Row],[Required_Qty]]-Table1[[#This Row],[Available_Qty]]</f>
        <v>-22</v>
      </c>
      <c r="K321" s="7">
        <v>22</v>
      </c>
      <c r="L321" s="7">
        <f>IF(Table1[[#This Row],[Required_Qty]]&gt;Table1[[#This Row],[Available_Qty]],Table1[[#This Row],[Required_Qty]]-Table1[[#This Row],[Available_Qty]],0)</f>
        <v>0</v>
      </c>
      <c r="M321" s="7">
        <f>IF(Table1[[#This Row],[Required_Qty]]&lt;Table1[[#This Row],[Available_Qty]],Table1[[#This Row],[Available_Qty]]-Table1[[#This Row],[Required_Qty]],0)</f>
        <v>22</v>
      </c>
      <c r="N321">
        <v>232200</v>
      </c>
      <c r="O321" s="7">
        <f>IF(AND(Table1[[#This Row],[Clean_Shortage]]&gt;0,Table1[[#This Row],[Lead_Time_Days]]&gt;10),1,0)</f>
        <v>0</v>
      </c>
    </row>
    <row r="322" spans="1:15" hidden="1" x14ac:dyDescent="0.3">
      <c r="A322" t="s">
        <v>332</v>
      </c>
      <c r="B322" t="s">
        <v>513</v>
      </c>
      <c r="C322" t="s">
        <v>517</v>
      </c>
      <c r="D322">
        <v>40</v>
      </c>
      <c r="E322">
        <v>24</v>
      </c>
      <c r="F322">
        <v>42</v>
      </c>
      <c r="G322">
        <v>7279</v>
      </c>
      <c r="H322">
        <v>8</v>
      </c>
      <c r="I322" s="1">
        <v>45247</v>
      </c>
      <c r="J322" s="7">
        <f>Table1[[#This Row],[Required_Qty]]-Table1[[#This Row],[Available_Qty]]</f>
        <v>16</v>
      </c>
      <c r="K322" s="7">
        <v>-16</v>
      </c>
      <c r="L322" s="7">
        <f>IF(Table1[[#This Row],[Required_Qty]]&gt;Table1[[#This Row],[Available_Qty]],Table1[[#This Row],[Required_Qty]]-Table1[[#This Row],[Available_Qty]],0)</f>
        <v>16</v>
      </c>
      <c r="M322" s="7">
        <f>IF(Table1[[#This Row],[Required_Qty]]&lt;Table1[[#This Row],[Available_Qty]],Table1[[#This Row],[Available_Qty]]-Table1[[#This Row],[Required_Qty]],0)</f>
        <v>0</v>
      </c>
      <c r="N322">
        <v>305718</v>
      </c>
      <c r="O322" s="7">
        <f>IF(AND(Table1[[#This Row],[Clean_Shortage]]&gt;0,Table1[[#This Row],[Lead_Time_Days]]&gt;10),1,0)</f>
        <v>0</v>
      </c>
    </row>
    <row r="323" spans="1:15" hidden="1" x14ac:dyDescent="0.3">
      <c r="A323" t="s">
        <v>333</v>
      </c>
      <c r="B323" t="s">
        <v>514</v>
      </c>
      <c r="C323" t="s">
        <v>518</v>
      </c>
      <c r="D323">
        <v>18</v>
      </c>
      <c r="E323">
        <v>117</v>
      </c>
      <c r="F323">
        <v>73</v>
      </c>
      <c r="G323">
        <v>9553</v>
      </c>
      <c r="H323">
        <v>2</v>
      </c>
      <c r="I323" s="1">
        <v>45248</v>
      </c>
      <c r="J323" s="7">
        <f>Table1[[#This Row],[Required_Qty]]-Table1[[#This Row],[Available_Qty]]</f>
        <v>-99</v>
      </c>
      <c r="K323" s="7">
        <v>99</v>
      </c>
      <c r="L323" s="7">
        <f>IF(Table1[[#This Row],[Required_Qty]]&gt;Table1[[#This Row],[Available_Qty]],Table1[[#This Row],[Required_Qty]]-Table1[[#This Row],[Available_Qty]],0)</f>
        <v>0</v>
      </c>
      <c r="M323" s="7">
        <f>IF(Table1[[#This Row],[Required_Qty]]&lt;Table1[[#This Row],[Available_Qty]],Table1[[#This Row],[Available_Qty]]-Table1[[#This Row],[Required_Qty]],0)</f>
        <v>99</v>
      </c>
      <c r="N323">
        <v>697369</v>
      </c>
      <c r="O323" s="7">
        <f>IF(AND(Table1[[#This Row],[Clean_Shortage]]&gt;0,Table1[[#This Row],[Lead_Time_Days]]&gt;10),1,0)</f>
        <v>0</v>
      </c>
    </row>
    <row r="324" spans="1:15" hidden="1" x14ac:dyDescent="0.3">
      <c r="A324" t="s">
        <v>334</v>
      </c>
      <c r="B324" t="s">
        <v>513</v>
      </c>
      <c r="C324" t="s">
        <v>517</v>
      </c>
      <c r="D324">
        <v>60</v>
      </c>
      <c r="E324">
        <v>65</v>
      </c>
      <c r="F324">
        <v>29</v>
      </c>
      <c r="G324">
        <v>8353</v>
      </c>
      <c r="H324">
        <v>9</v>
      </c>
      <c r="I324" s="1">
        <v>45249</v>
      </c>
      <c r="J324" s="7">
        <f>Table1[[#This Row],[Required_Qty]]-Table1[[#This Row],[Available_Qty]]</f>
        <v>-5</v>
      </c>
      <c r="K324" s="7">
        <v>5</v>
      </c>
      <c r="L324" s="7">
        <f>IF(Table1[[#This Row],[Required_Qty]]&gt;Table1[[#This Row],[Available_Qty]],Table1[[#This Row],[Required_Qty]]-Table1[[#This Row],[Available_Qty]],0)</f>
        <v>0</v>
      </c>
      <c r="M324" s="7">
        <f>IF(Table1[[#This Row],[Required_Qty]]&lt;Table1[[#This Row],[Available_Qty]],Table1[[#This Row],[Available_Qty]]-Table1[[#This Row],[Required_Qty]],0)</f>
        <v>5</v>
      </c>
      <c r="N324">
        <v>242237</v>
      </c>
      <c r="O324" s="7">
        <f>IF(AND(Table1[[#This Row],[Clean_Shortage]]&gt;0,Table1[[#This Row],[Lead_Time_Days]]&gt;10),1,0)</f>
        <v>0</v>
      </c>
    </row>
    <row r="325" spans="1:15" hidden="1" x14ac:dyDescent="0.3">
      <c r="A325" t="s">
        <v>335</v>
      </c>
      <c r="B325" t="s">
        <v>515</v>
      </c>
      <c r="C325" t="s">
        <v>516</v>
      </c>
      <c r="D325">
        <v>38</v>
      </c>
      <c r="E325">
        <v>110</v>
      </c>
      <c r="F325">
        <v>16</v>
      </c>
      <c r="G325">
        <v>4727</v>
      </c>
      <c r="H325">
        <v>13</v>
      </c>
      <c r="I325" s="1">
        <v>45250</v>
      </c>
      <c r="J325" s="7">
        <f>Table1[[#This Row],[Required_Qty]]-Table1[[#This Row],[Available_Qty]]</f>
        <v>-72</v>
      </c>
      <c r="K325" s="7">
        <v>72</v>
      </c>
      <c r="L325" s="7">
        <f>IF(Table1[[#This Row],[Required_Qty]]&gt;Table1[[#This Row],[Available_Qty]],Table1[[#This Row],[Required_Qty]]-Table1[[#This Row],[Available_Qty]],0)</f>
        <v>0</v>
      </c>
      <c r="M325" s="7">
        <f>IF(Table1[[#This Row],[Required_Qty]]&lt;Table1[[#This Row],[Available_Qty]],Table1[[#This Row],[Available_Qty]]-Table1[[#This Row],[Required_Qty]],0)</f>
        <v>72</v>
      </c>
      <c r="N325">
        <v>75632</v>
      </c>
      <c r="O325" s="7">
        <f>IF(AND(Table1[[#This Row],[Clean_Shortage]]&gt;0,Table1[[#This Row],[Lead_Time_Days]]&gt;10),1,0)</f>
        <v>0</v>
      </c>
    </row>
    <row r="326" spans="1:15" x14ac:dyDescent="0.3">
      <c r="A326" t="s">
        <v>336</v>
      </c>
      <c r="B326" t="s">
        <v>515</v>
      </c>
      <c r="C326" t="s">
        <v>517</v>
      </c>
      <c r="D326">
        <v>87</v>
      </c>
      <c r="E326">
        <v>39</v>
      </c>
      <c r="F326">
        <v>25</v>
      </c>
      <c r="G326">
        <v>7272</v>
      </c>
      <c r="H326">
        <v>14</v>
      </c>
      <c r="I326" s="1">
        <v>45251</v>
      </c>
      <c r="J326" s="7">
        <f>Table1[[#This Row],[Required_Qty]]-Table1[[#This Row],[Available_Qty]]</f>
        <v>48</v>
      </c>
      <c r="K326" s="7">
        <v>-48</v>
      </c>
      <c r="L326" s="7">
        <f>IF(Table1[[#This Row],[Required_Qty]]&gt;Table1[[#This Row],[Available_Qty]],Table1[[#This Row],[Required_Qty]]-Table1[[#This Row],[Available_Qty]],0)</f>
        <v>48</v>
      </c>
      <c r="M326" s="7">
        <f>IF(Table1[[#This Row],[Required_Qty]]&lt;Table1[[#This Row],[Available_Qty]],Table1[[#This Row],[Available_Qty]]-Table1[[#This Row],[Required_Qty]],0)</f>
        <v>0</v>
      </c>
      <c r="N326">
        <v>181800</v>
      </c>
      <c r="O326" s="7">
        <f>IF(AND(Table1[[#This Row],[Clean_Shortage]]&gt;0,Table1[[#This Row],[Lead_Time_Days]]&gt;10),1,0)</f>
        <v>1</v>
      </c>
    </row>
    <row r="327" spans="1:15" hidden="1" x14ac:dyDescent="0.3">
      <c r="A327" t="s">
        <v>337</v>
      </c>
      <c r="B327" t="s">
        <v>515</v>
      </c>
      <c r="C327" t="s">
        <v>517</v>
      </c>
      <c r="D327">
        <v>49</v>
      </c>
      <c r="E327">
        <v>54</v>
      </c>
      <c r="F327">
        <v>7</v>
      </c>
      <c r="G327">
        <v>6995</v>
      </c>
      <c r="H327">
        <v>6</v>
      </c>
      <c r="I327" s="1">
        <v>45252</v>
      </c>
      <c r="J327" s="7">
        <f>Table1[[#This Row],[Required_Qty]]-Table1[[#This Row],[Available_Qty]]</f>
        <v>-5</v>
      </c>
      <c r="K327" s="7">
        <v>5</v>
      </c>
      <c r="L327" s="7">
        <f>IF(Table1[[#This Row],[Required_Qty]]&gt;Table1[[#This Row],[Available_Qty]],Table1[[#This Row],[Required_Qty]]-Table1[[#This Row],[Available_Qty]],0)</f>
        <v>0</v>
      </c>
      <c r="M327" s="7">
        <f>IF(Table1[[#This Row],[Required_Qty]]&lt;Table1[[#This Row],[Available_Qty]],Table1[[#This Row],[Available_Qty]]-Table1[[#This Row],[Required_Qty]],0)</f>
        <v>5</v>
      </c>
      <c r="N327">
        <v>48965</v>
      </c>
      <c r="O327" s="7">
        <f>IF(AND(Table1[[#This Row],[Clean_Shortage]]&gt;0,Table1[[#This Row],[Lead_Time_Days]]&gt;10),1,0)</f>
        <v>0</v>
      </c>
    </row>
    <row r="328" spans="1:15" hidden="1" x14ac:dyDescent="0.3">
      <c r="A328" t="s">
        <v>338</v>
      </c>
      <c r="B328" t="s">
        <v>512</v>
      </c>
      <c r="C328" t="s">
        <v>517</v>
      </c>
      <c r="D328">
        <v>50</v>
      </c>
      <c r="E328">
        <v>86</v>
      </c>
      <c r="F328">
        <v>46</v>
      </c>
      <c r="G328">
        <v>1514</v>
      </c>
      <c r="H328">
        <v>9</v>
      </c>
      <c r="I328" s="1">
        <v>45253</v>
      </c>
      <c r="J328" s="7">
        <f>Table1[[#This Row],[Required_Qty]]-Table1[[#This Row],[Available_Qty]]</f>
        <v>-36</v>
      </c>
      <c r="K328" s="7">
        <v>36</v>
      </c>
      <c r="L328" s="7">
        <f>IF(Table1[[#This Row],[Required_Qty]]&gt;Table1[[#This Row],[Available_Qty]],Table1[[#This Row],[Required_Qty]]-Table1[[#This Row],[Available_Qty]],0)</f>
        <v>0</v>
      </c>
      <c r="M328" s="7">
        <f>IF(Table1[[#This Row],[Required_Qty]]&lt;Table1[[#This Row],[Available_Qty]],Table1[[#This Row],[Available_Qty]]-Table1[[#This Row],[Required_Qty]],0)</f>
        <v>36</v>
      </c>
      <c r="N328">
        <v>69644</v>
      </c>
      <c r="O328" s="7">
        <f>IF(AND(Table1[[#This Row],[Clean_Shortage]]&gt;0,Table1[[#This Row],[Lead_Time_Days]]&gt;10),1,0)</f>
        <v>0</v>
      </c>
    </row>
    <row r="329" spans="1:15" hidden="1" x14ac:dyDescent="0.3">
      <c r="A329" t="s">
        <v>339</v>
      </c>
      <c r="B329" t="s">
        <v>512</v>
      </c>
      <c r="C329" t="s">
        <v>518</v>
      </c>
      <c r="D329">
        <v>95</v>
      </c>
      <c r="E329">
        <v>66</v>
      </c>
      <c r="F329">
        <v>75</v>
      </c>
      <c r="G329">
        <v>1448</v>
      </c>
      <c r="H329">
        <v>8</v>
      </c>
      <c r="I329" s="1">
        <v>45254</v>
      </c>
      <c r="J329" s="7">
        <f>Table1[[#This Row],[Required_Qty]]-Table1[[#This Row],[Available_Qty]]</f>
        <v>29</v>
      </c>
      <c r="K329" s="7">
        <v>-29</v>
      </c>
      <c r="L329" s="7">
        <f>IF(Table1[[#This Row],[Required_Qty]]&gt;Table1[[#This Row],[Available_Qty]],Table1[[#This Row],[Required_Qty]]-Table1[[#This Row],[Available_Qty]],0)</f>
        <v>29</v>
      </c>
      <c r="M329" s="7">
        <f>IF(Table1[[#This Row],[Required_Qty]]&lt;Table1[[#This Row],[Available_Qty]],Table1[[#This Row],[Available_Qty]]-Table1[[#This Row],[Required_Qty]],0)</f>
        <v>0</v>
      </c>
      <c r="N329">
        <v>108600</v>
      </c>
      <c r="O329" s="7">
        <f>IF(AND(Table1[[#This Row],[Clean_Shortage]]&gt;0,Table1[[#This Row],[Lead_Time_Days]]&gt;10),1,0)</f>
        <v>0</v>
      </c>
    </row>
    <row r="330" spans="1:15" hidden="1" x14ac:dyDescent="0.3">
      <c r="A330" t="s">
        <v>340</v>
      </c>
      <c r="B330" t="s">
        <v>513</v>
      </c>
      <c r="C330" t="s">
        <v>517</v>
      </c>
      <c r="D330">
        <v>20</v>
      </c>
      <c r="E330">
        <v>21</v>
      </c>
      <c r="F330">
        <v>71</v>
      </c>
      <c r="G330">
        <v>7019</v>
      </c>
      <c r="H330">
        <v>7</v>
      </c>
      <c r="I330" s="1">
        <v>45255</v>
      </c>
      <c r="J330" s="7">
        <f>Table1[[#This Row],[Required_Qty]]-Table1[[#This Row],[Available_Qty]]</f>
        <v>-1</v>
      </c>
      <c r="K330" s="7">
        <v>1</v>
      </c>
      <c r="L330" s="7">
        <f>IF(Table1[[#This Row],[Required_Qty]]&gt;Table1[[#This Row],[Available_Qty]],Table1[[#This Row],[Required_Qty]]-Table1[[#This Row],[Available_Qty]],0)</f>
        <v>0</v>
      </c>
      <c r="M330" s="7">
        <f>IF(Table1[[#This Row],[Required_Qty]]&lt;Table1[[#This Row],[Available_Qty]],Table1[[#This Row],[Available_Qty]]-Table1[[#This Row],[Required_Qty]],0)</f>
        <v>1</v>
      </c>
      <c r="N330">
        <v>498349</v>
      </c>
      <c r="O330" s="7">
        <f>IF(AND(Table1[[#This Row],[Clean_Shortage]]&gt;0,Table1[[#This Row],[Lead_Time_Days]]&gt;10),1,0)</f>
        <v>0</v>
      </c>
    </row>
    <row r="331" spans="1:15" hidden="1" x14ac:dyDescent="0.3">
      <c r="A331" t="s">
        <v>341</v>
      </c>
      <c r="B331" t="s">
        <v>513</v>
      </c>
      <c r="C331" t="s">
        <v>518</v>
      </c>
      <c r="D331">
        <v>32</v>
      </c>
      <c r="E331">
        <v>92</v>
      </c>
      <c r="F331">
        <v>45</v>
      </c>
      <c r="G331">
        <v>6343</v>
      </c>
      <c r="H331">
        <v>13</v>
      </c>
      <c r="I331" s="1">
        <v>45256</v>
      </c>
      <c r="J331" s="7">
        <f>Table1[[#This Row],[Required_Qty]]-Table1[[#This Row],[Available_Qty]]</f>
        <v>-60</v>
      </c>
      <c r="K331" s="7">
        <v>60</v>
      </c>
      <c r="L331" s="7">
        <f>IF(Table1[[#This Row],[Required_Qty]]&gt;Table1[[#This Row],[Available_Qty]],Table1[[#This Row],[Required_Qty]]-Table1[[#This Row],[Available_Qty]],0)</f>
        <v>0</v>
      </c>
      <c r="M331" s="7">
        <f>IF(Table1[[#This Row],[Required_Qty]]&lt;Table1[[#This Row],[Available_Qty]],Table1[[#This Row],[Available_Qty]]-Table1[[#This Row],[Required_Qty]],0)</f>
        <v>60</v>
      </c>
      <c r="N331">
        <v>285435</v>
      </c>
      <c r="O331" s="7">
        <f>IF(AND(Table1[[#This Row],[Clean_Shortage]]&gt;0,Table1[[#This Row],[Lead_Time_Days]]&gt;10),1,0)</f>
        <v>0</v>
      </c>
    </row>
    <row r="332" spans="1:15" x14ac:dyDescent="0.3">
      <c r="A332" t="s">
        <v>342</v>
      </c>
      <c r="B332" t="s">
        <v>514</v>
      </c>
      <c r="C332" t="s">
        <v>518</v>
      </c>
      <c r="D332">
        <v>10</v>
      </c>
      <c r="E332">
        <v>7</v>
      </c>
      <c r="F332">
        <v>67</v>
      </c>
      <c r="G332">
        <v>9033</v>
      </c>
      <c r="H332">
        <v>14</v>
      </c>
      <c r="I332" s="1">
        <v>45257</v>
      </c>
      <c r="J332" s="7">
        <f>Table1[[#This Row],[Required_Qty]]-Table1[[#This Row],[Available_Qty]]</f>
        <v>3</v>
      </c>
      <c r="K332" s="7">
        <v>-3</v>
      </c>
      <c r="L332" s="7">
        <f>IF(Table1[[#This Row],[Required_Qty]]&gt;Table1[[#This Row],[Available_Qty]],Table1[[#This Row],[Required_Qty]]-Table1[[#This Row],[Available_Qty]],0)</f>
        <v>3</v>
      </c>
      <c r="M332" s="7">
        <f>IF(Table1[[#This Row],[Required_Qty]]&lt;Table1[[#This Row],[Available_Qty]],Table1[[#This Row],[Available_Qty]]-Table1[[#This Row],[Required_Qty]],0)</f>
        <v>0</v>
      </c>
      <c r="N332">
        <v>605211</v>
      </c>
      <c r="O332" s="7">
        <f>IF(AND(Table1[[#This Row],[Clean_Shortage]]&gt;0,Table1[[#This Row],[Lead_Time_Days]]&gt;10),1,0)</f>
        <v>1</v>
      </c>
    </row>
    <row r="333" spans="1:15" hidden="1" x14ac:dyDescent="0.3">
      <c r="A333" t="s">
        <v>343</v>
      </c>
      <c r="B333" t="s">
        <v>514</v>
      </c>
      <c r="C333" t="s">
        <v>517</v>
      </c>
      <c r="D333">
        <v>55</v>
      </c>
      <c r="E333">
        <v>36</v>
      </c>
      <c r="F333">
        <v>32</v>
      </c>
      <c r="G333">
        <v>3520</v>
      </c>
      <c r="H333">
        <v>1</v>
      </c>
      <c r="I333" s="1">
        <v>45258</v>
      </c>
      <c r="J333" s="7">
        <f>Table1[[#This Row],[Required_Qty]]-Table1[[#This Row],[Available_Qty]]</f>
        <v>19</v>
      </c>
      <c r="K333" s="7">
        <v>-19</v>
      </c>
      <c r="L333" s="7">
        <f>IF(Table1[[#This Row],[Required_Qty]]&gt;Table1[[#This Row],[Available_Qty]],Table1[[#This Row],[Required_Qty]]-Table1[[#This Row],[Available_Qty]],0)</f>
        <v>19</v>
      </c>
      <c r="M333" s="7">
        <f>IF(Table1[[#This Row],[Required_Qty]]&lt;Table1[[#This Row],[Available_Qty]],Table1[[#This Row],[Available_Qty]]-Table1[[#This Row],[Required_Qty]],0)</f>
        <v>0</v>
      </c>
      <c r="N333">
        <v>112640</v>
      </c>
      <c r="O333" s="7">
        <f>IF(AND(Table1[[#This Row],[Clean_Shortage]]&gt;0,Table1[[#This Row],[Lead_Time_Days]]&gt;10),1,0)</f>
        <v>0</v>
      </c>
    </row>
    <row r="334" spans="1:15" hidden="1" x14ac:dyDescent="0.3">
      <c r="A334" t="s">
        <v>344</v>
      </c>
      <c r="B334" t="s">
        <v>513</v>
      </c>
      <c r="C334" t="s">
        <v>517</v>
      </c>
      <c r="D334">
        <v>30</v>
      </c>
      <c r="E334">
        <v>103</v>
      </c>
      <c r="F334">
        <v>0</v>
      </c>
      <c r="G334">
        <v>4081</v>
      </c>
      <c r="H334">
        <v>14</v>
      </c>
      <c r="I334" s="1">
        <v>45259</v>
      </c>
      <c r="J334" s="7">
        <f>Table1[[#This Row],[Required_Qty]]-Table1[[#This Row],[Available_Qty]]</f>
        <v>-73</v>
      </c>
      <c r="K334" s="7">
        <v>73</v>
      </c>
      <c r="L334" s="7">
        <f>IF(Table1[[#This Row],[Required_Qty]]&gt;Table1[[#This Row],[Available_Qty]],Table1[[#This Row],[Required_Qty]]-Table1[[#This Row],[Available_Qty]],0)</f>
        <v>0</v>
      </c>
      <c r="M334" s="7">
        <f>IF(Table1[[#This Row],[Required_Qty]]&lt;Table1[[#This Row],[Available_Qty]],Table1[[#This Row],[Available_Qty]]-Table1[[#This Row],[Required_Qty]],0)</f>
        <v>73</v>
      </c>
      <c r="N334">
        <v>0</v>
      </c>
      <c r="O334" s="7">
        <f>IF(AND(Table1[[#This Row],[Clean_Shortage]]&gt;0,Table1[[#This Row],[Lead_Time_Days]]&gt;10),1,0)</f>
        <v>0</v>
      </c>
    </row>
    <row r="335" spans="1:15" hidden="1" x14ac:dyDescent="0.3">
      <c r="A335" t="s">
        <v>345</v>
      </c>
      <c r="B335" t="s">
        <v>512</v>
      </c>
      <c r="C335" t="s">
        <v>517</v>
      </c>
      <c r="D335">
        <v>99</v>
      </c>
      <c r="E335">
        <v>106</v>
      </c>
      <c r="F335">
        <v>18</v>
      </c>
      <c r="G335">
        <v>2428</v>
      </c>
      <c r="H335">
        <v>12</v>
      </c>
      <c r="I335" s="1">
        <v>45260</v>
      </c>
      <c r="J335" s="7">
        <f>Table1[[#This Row],[Required_Qty]]-Table1[[#This Row],[Available_Qty]]</f>
        <v>-7</v>
      </c>
      <c r="K335" s="7">
        <v>7</v>
      </c>
      <c r="L335" s="7">
        <f>IF(Table1[[#This Row],[Required_Qty]]&gt;Table1[[#This Row],[Available_Qty]],Table1[[#This Row],[Required_Qty]]-Table1[[#This Row],[Available_Qty]],0)</f>
        <v>0</v>
      </c>
      <c r="M335" s="7">
        <f>IF(Table1[[#This Row],[Required_Qty]]&lt;Table1[[#This Row],[Available_Qty]],Table1[[#This Row],[Available_Qty]]-Table1[[#This Row],[Required_Qty]],0)</f>
        <v>7</v>
      </c>
      <c r="N335">
        <v>43704</v>
      </c>
      <c r="O335" s="7">
        <f>IF(AND(Table1[[#This Row],[Clean_Shortage]]&gt;0,Table1[[#This Row],[Lead_Time_Days]]&gt;10),1,0)</f>
        <v>0</v>
      </c>
    </row>
    <row r="336" spans="1:15" hidden="1" x14ac:dyDescent="0.3">
      <c r="A336" t="s">
        <v>346</v>
      </c>
      <c r="B336" t="s">
        <v>515</v>
      </c>
      <c r="C336" t="s">
        <v>516</v>
      </c>
      <c r="D336">
        <v>45</v>
      </c>
      <c r="E336">
        <v>17</v>
      </c>
      <c r="F336">
        <v>30</v>
      </c>
      <c r="G336">
        <v>4967</v>
      </c>
      <c r="H336">
        <v>3</v>
      </c>
      <c r="I336" s="1">
        <v>45261</v>
      </c>
      <c r="J336" s="7">
        <f>Table1[[#This Row],[Required_Qty]]-Table1[[#This Row],[Available_Qty]]</f>
        <v>28</v>
      </c>
      <c r="K336" s="7">
        <v>-28</v>
      </c>
      <c r="L336" s="7">
        <f>IF(Table1[[#This Row],[Required_Qty]]&gt;Table1[[#This Row],[Available_Qty]],Table1[[#This Row],[Required_Qty]]-Table1[[#This Row],[Available_Qty]],0)</f>
        <v>28</v>
      </c>
      <c r="M336" s="7">
        <f>IF(Table1[[#This Row],[Required_Qty]]&lt;Table1[[#This Row],[Available_Qty]],Table1[[#This Row],[Available_Qty]]-Table1[[#This Row],[Required_Qty]],0)</f>
        <v>0</v>
      </c>
      <c r="N336">
        <v>149010</v>
      </c>
      <c r="O336" s="7">
        <f>IF(AND(Table1[[#This Row],[Clean_Shortage]]&gt;0,Table1[[#This Row],[Lead_Time_Days]]&gt;10),1,0)</f>
        <v>0</v>
      </c>
    </row>
    <row r="337" spans="1:15" hidden="1" x14ac:dyDescent="0.3">
      <c r="A337" t="s">
        <v>347</v>
      </c>
      <c r="B337" t="s">
        <v>513</v>
      </c>
      <c r="C337" t="s">
        <v>517</v>
      </c>
      <c r="D337">
        <v>63</v>
      </c>
      <c r="E337">
        <v>115</v>
      </c>
      <c r="F337">
        <v>79</v>
      </c>
      <c r="G337">
        <v>7445</v>
      </c>
      <c r="H337">
        <v>11</v>
      </c>
      <c r="I337" s="1">
        <v>45262</v>
      </c>
      <c r="J337" s="7">
        <f>Table1[[#This Row],[Required_Qty]]-Table1[[#This Row],[Available_Qty]]</f>
        <v>-52</v>
      </c>
      <c r="K337" s="7">
        <v>52</v>
      </c>
      <c r="L337" s="7">
        <f>IF(Table1[[#This Row],[Required_Qty]]&gt;Table1[[#This Row],[Available_Qty]],Table1[[#This Row],[Required_Qty]]-Table1[[#This Row],[Available_Qty]],0)</f>
        <v>0</v>
      </c>
      <c r="M337" s="7">
        <f>IF(Table1[[#This Row],[Required_Qty]]&lt;Table1[[#This Row],[Available_Qty]],Table1[[#This Row],[Available_Qty]]-Table1[[#This Row],[Required_Qty]],0)</f>
        <v>52</v>
      </c>
      <c r="N337">
        <v>588155</v>
      </c>
      <c r="O337" s="7">
        <f>IF(AND(Table1[[#This Row],[Clean_Shortage]]&gt;0,Table1[[#This Row],[Lead_Time_Days]]&gt;10),1,0)</f>
        <v>0</v>
      </c>
    </row>
    <row r="338" spans="1:15" x14ac:dyDescent="0.3">
      <c r="A338" t="s">
        <v>348</v>
      </c>
      <c r="B338" t="s">
        <v>514</v>
      </c>
      <c r="C338" t="s">
        <v>518</v>
      </c>
      <c r="D338">
        <v>96</v>
      </c>
      <c r="E338">
        <v>93</v>
      </c>
      <c r="F338">
        <v>13</v>
      </c>
      <c r="G338">
        <v>3159</v>
      </c>
      <c r="H338">
        <v>14</v>
      </c>
      <c r="I338" s="1">
        <v>45263</v>
      </c>
      <c r="J338" s="7">
        <f>Table1[[#This Row],[Required_Qty]]-Table1[[#This Row],[Available_Qty]]</f>
        <v>3</v>
      </c>
      <c r="K338" s="7">
        <v>-3</v>
      </c>
      <c r="L338" s="7">
        <f>IF(Table1[[#This Row],[Required_Qty]]&gt;Table1[[#This Row],[Available_Qty]],Table1[[#This Row],[Required_Qty]]-Table1[[#This Row],[Available_Qty]],0)</f>
        <v>3</v>
      </c>
      <c r="M338" s="7">
        <f>IF(Table1[[#This Row],[Required_Qty]]&lt;Table1[[#This Row],[Available_Qty]],Table1[[#This Row],[Available_Qty]]-Table1[[#This Row],[Required_Qty]],0)</f>
        <v>0</v>
      </c>
      <c r="N338">
        <v>41067</v>
      </c>
      <c r="O338" s="7">
        <f>IF(AND(Table1[[#This Row],[Clean_Shortage]]&gt;0,Table1[[#This Row],[Lead_Time_Days]]&gt;10),1,0)</f>
        <v>1</v>
      </c>
    </row>
    <row r="339" spans="1:15" hidden="1" x14ac:dyDescent="0.3">
      <c r="A339" t="s">
        <v>349</v>
      </c>
      <c r="B339" t="s">
        <v>512</v>
      </c>
      <c r="C339" t="s">
        <v>517</v>
      </c>
      <c r="D339">
        <v>66</v>
      </c>
      <c r="E339">
        <v>77</v>
      </c>
      <c r="F339">
        <v>52</v>
      </c>
      <c r="G339">
        <v>6132</v>
      </c>
      <c r="H339">
        <v>2</v>
      </c>
      <c r="I339" s="1">
        <v>45264</v>
      </c>
      <c r="J339" s="7">
        <f>Table1[[#This Row],[Required_Qty]]-Table1[[#This Row],[Available_Qty]]</f>
        <v>-11</v>
      </c>
      <c r="K339" s="7">
        <v>11</v>
      </c>
      <c r="L339" s="7">
        <f>IF(Table1[[#This Row],[Required_Qty]]&gt;Table1[[#This Row],[Available_Qty]],Table1[[#This Row],[Required_Qty]]-Table1[[#This Row],[Available_Qty]],0)</f>
        <v>0</v>
      </c>
      <c r="M339" s="7">
        <f>IF(Table1[[#This Row],[Required_Qty]]&lt;Table1[[#This Row],[Available_Qty]],Table1[[#This Row],[Available_Qty]]-Table1[[#This Row],[Required_Qty]],0)</f>
        <v>11</v>
      </c>
      <c r="N339">
        <v>318864</v>
      </c>
      <c r="O339" s="7">
        <f>IF(AND(Table1[[#This Row],[Clean_Shortage]]&gt;0,Table1[[#This Row],[Lead_Time_Days]]&gt;10),1,0)</f>
        <v>0</v>
      </c>
    </row>
    <row r="340" spans="1:15" hidden="1" x14ac:dyDescent="0.3">
      <c r="A340" t="s">
        <v>350</v>
      </c>
      <c r="B340" t="s">
        <v>513</v>
      </c>
      <c r="C340" t="s">
        <v>516</v>
      </c>
      <c r="D340">
        <v>10</v>
      </c>
      <c r="E340">
        <v>72</v>
      </c>
      <c r="F340">
        <v>47</v>
      </c>
      <c r="G340">
        <v>3547</v>
      </c>
      <c r="H340">
        <v>5</v>
      </c>
      <c r="I340" s="1">
        <v>45265</v>
      </c>
      <c r="J340" s="7">
        <f>Table1[[#This Row],[Required_Qty]]-Table1[[#This Row],[Available_Qty]]</f>
        <v>-62</v>
      </c>
      <c r="K340" s="7">
        <v>62</v>
      </c>
      <c r="L340" s="7">
        <f>IF(Table1[[#This Row],[Required_Qty]]&gt;Table1[[#This Row],[Available_Qty]],Table1[[#This Row],[Required_Qty]]-Table1[[#This Row],[Available_Qty]],0)</f>
        <v>0</v>
      </c>
      <c r="M340" s="7">
        <f>IF(Table1[[#This Row],[Required_Qty]]&lt;Table1[[#This Row],[Available_Qty]],Table1[[#This Row],[Available_Qty]]-Table1[[#This Row],[Required_Qty]],0)</f>
        <v>62</v>
      </c>
      <c r="N340">
        <v>166709</v>
      </c>
      <c r="O340" s="7">
        <f>IF(AND(Table1[[#This Row],[Clean_Shortage]]&gt;0,Table1[[#This Row],[Lead_Time_Days]]&gt;10),1,0)</f>
        <v>0</v>
      </c>
    </row>
    <row r="341" spans="1:15" hidden="1" x14ac:dyDescent="0.3">
      <c r="A341" t="s">
        <v>351</v>
      </c>
      <c r="B341" t="s">
        <v>513</v>
      </c>
      <c r="C341" t="s">
        <v>517</v>
      </c>
      <c r="D341">
        <v>72</v>
      </c>
      <c r="E341">
        <v>18</v>
      </c>
      <c r="F341">
        <v>68</v>
      </c>
      <c r="G341">
        <v>3979</v>
      </c>
      <c r="H341">
        <v>5</v>
      </c>
      <c r="I341" s="1">
        <v>45266</v>
      </c>
      <c r="J341" s="7">
        <f>Table1[[#This Row],[Required_Qty]]-Table1[[#This Row],[Available_Qty]]</f>
        <v>54</v>
      </c>
      <c r="K341" s="7">
        <v>-54</v>
      </c>
      <c r="L341" s="7">
        <f>IF(Table1[[#This Row],[Required_Qty]]&gt;Table1[[#This Row],[Available_Qty]],Table1[[#This Row],[Required_Qty]]-Table1[[#This Row],[Available_Qty]],0)</f>
        <v>54</v>
      </c>
      <c r="M341" s="7">
        <f>IF(Table1[[#This Row],[Required_Qty]]&lt;Table1[[#This Row],[Available_Qty]],Table1[[#This Row],[Available_Qty]]-Table1[[#This Row],[Required_Qty]],0)</f>
        <v>0</v>
      </c>
      <c r="N341">
        <v>270572</v>
      </c>
      <c r="O341" s="7">
        <f>IF(AND(Table1[[#This Row],[Clean_Shortage]]&gt;0,Table1[[#This Row],[Lead_Time_Days]]&gt;10),1,0)</f>
        <v>0</v>
      </c>
    </row>
    <row r="342" spans="1:15" hidden="1" x14ac:dyDescent="0.3">
      <c r="A342" t="s">
        <v>352</v>
      </c>
      <c r="B342" t="s">
        <v>512</v>
      </c>
      <c r="C342" t="s">
        <v>516</v>
      </c>
      <c r="D342">
        <v>63</v>
      </c>
      <c r="E342">
        <v>105</v>
      </c>
      <c r="F342">
        <v>61</v>
      </c>
      <c r="G342">
        <v>3649</v>
      </c>
      <c r="H342">
        <v>5</v>
      </c>
      <c r="I342" s="1">
        <v>45267</v>
      </c>
      <c r="J342" s="7">
        <f>Table1[[#This Row],[Required_Qty]]-Table1[[#This Row],[Available_Qty]]</f>
        <v>-42</v>
      </c>
      <c r="K342" s="7">
        <v>42</v>
      </c>
      <c r="L342" s="7">
        <f>IF(Table1[[#This Row],[Required_Qty]]&gt;Table1[[#This Row],[Available_Qty]],Table1[[#This Row],[Required_Qty]]-Table1[[#This Row],[Available_Qty]],0)</f>
        <v>0</v>
      </c>
      <c r="M342" s="7">
        <f>IF(Table1[[#This Row],[Required_Qty]]&lt;Table1[[#This Row],[Available_Qty]],Table1[[#This Row],[Available_Qty]]-Table1[[#This Row],[Required_Qty]],0)</f>
        <v>42</v>
      </c>
      <c r="N342">
        <v>222589</v>
      </c>
      <c r="O342" s="7">
        <f>IF(AND(Table1[[#This Row],[Clean_Shortage]]&gt;0,Table1[[#This Row],[Lead_Time_Days]]&gt;10),1,0)</f>
        <v>0</v>
      </c>
    </row>
    <row r="343" spans="1:15" hidden="1" x14ac:dyDescent="0.3">
      <c r="A343" t="s">
        <v>353</v>
      </c>
      <c r="B343" t="s">
        <v>513</v>
      </c>
      <c r="C343" t="s">
        <v>516</v>
      </c>
      <c r="D343">
        <v>64</v>
      </c>
      <c r="E343">
        <v>102</v>
      </c>
      <c r="F343">
        <v>65</v>
      </c>
      <c r="G343">
        <v>9505</v>
      </c>
      <c r="H343">
        <v>4</v>
      </c>
      <c r="I343" s="1">
        <v>45268</v>
      </c>
      <c r="J343" s="7">
        <f>Table1[[#This Row],[Required_Qty]]-Table1[[#This Row],[Available_Qty]]</f>
        <v>-38</v>
      </c>
      <c r="K343" s="7">
        <v>38</v>
      </c>
      <c r="L343" s="7">
        <f>IF(Table1[[#This Row],[Required_Qty]]&gt;Table1[[#This Row],[Available_Qty]],Table1[[#This Row],[Required_Qty]]-Table1[[#This Row],[Available_Qty]],0)</f>
        <v>0</v>
      </c>
      <c r="M343" s="7">
        <f>IF(Table1[[#This Row],[Required_Qty]]&lt;Table1[[#This Row],[Available_Qty]],Table1[[#This Row],[Available_Qty]]-Table1[[#This Row],[Required_Qty]],0)</f>
        <v>38</v>
      </c>
      <c r="N343">
        <v>617825</v>
      </c>
      <c r="O343" s="7">
        <f>IF(AND(Table1[[#This Row],[Clean_Shortage]]&gt;0,Table1[[#This Row],[Lead_Time_Days]]&gt;10),1,0)</f>
        <v>0</v>
      </c>
    </row>
    <row r="344" spans="1:15" hidden="1" x14ac:dyDescent="0.3">
      <c r="A344" t="s">
        <v>354</v>
      </c>
      <c r="B344" t="s">
        <v>512</v>
      </c>
      <c r="C344" t="s">
        <v>517</v>
      </c>
      <c r="D344">
        <v>49</v>
      </c>
      <c r="E344">
        <v>15</v>
      </c>
      <c r="F344">
        <v>63</v>
      </c>
      <c r="G344">
        <v>4083</v>
      </c>
      <c r="H344">
        <v>5</v>
      </c>
      <c r="I344" s="1">
        <v>45269</v>
      </c>
      <c r="J344" s="7">
        <f>Table1[[#This Row],[Required_Qty]]-Table1[[#This Row],[Available_Qty]]</f>
        <v>34</v>
      </c>
      <c r="K344" s="7">
        <v>-34</v>
      </c>
      <c r="L344" s="7">
        <f>IF(Table1[[#This Row],[Required_Qty]]&gt;Table1[[#This Row],[Available_Qty]],Table1[[#This Row],[Required_Qty]]-Table1[[#This Row],[Available_Qty]],0)</f>
        <v>34</v>
      </c>
      <c r="M344" s="7">
        <f>IF(Table1[[#This Row],[Required_Qty]]&lt;Table1[[#This Row],[Available_Qty]],Table1[[#This Row],[Available_Qty]]-Table1[[#This Row],[Required_Qty]],0)</f>
        <v>0</v>
      </c>
      <c r="N344">
        <v>257229</v>
      </c>
      <c r="O344" s="7">
        <f>IF(AND(Table1[[#This Row],[Clean_Shortage]]&gt;0,Table1[[#This Row],[Lead_Time_Days]]&gt;10),1,0)</f>
        <v>0</v>
      </c>
    </row>
    <row r="345" spans="1:15" hidden="1" x14ac:dyDescent="0.3">
      <c r="A345" t="s">
        <v>355</v>
      </c>
      <c r="B345" t="s">
        <v>515</v>
      </c>
      <c r="C345" t="s">
        <v>518</v>
      </c>
      <c r="D345">
        <v>24</v>
      </c>
      <c r="E345">
        <v>109</v>
      </c>
      <c r="F345">
        <v>69</v>
      </c>
      <c r="G345">
        <v>2037</v>
      </c>
      <c r="H345">
        <v>3</v>
      </c>
      <c r="I345" s="1">
        <v>45270</v>
      </c>
      <c r="J345" s="7">
        <f>Table1[[#This Row],[Required_Qty]]-Table1[[#This Row],[Available_Qty]]</f>
        <v>-85</v>
      </c>
      <c r="K345" s="7">
        <v>85</v>
      </c>
      <c r="L345" s="7">
        <f>IF(Table1[[#This Row],[Required_Qty]]&gt;Table1[[#This Row],[Available_Qty]],Table1[[#This Row],[Required_Qty]]-Table1[[#This Row],[Available_Qty]],0)</f>
        <v>0</v>
      </c>
      <c r="M345" s="7">
        <f>IF(Table1[[#This Row],[Required_Qty]]&lt;Table1[[#This Row],[Available_Qty]],Table1[[#This Row],[Available_Qty]]-Table1[[#This Row],[Required_Qty]],0)</f>
        <v>85</v>
      </c>
      <c r="N345">
        <v>140553</v>
      </c>
      <c r="O345" s="7">
        <f>IF(AND(Table1[[#This Row],[Clean_Shortage]]&gt;0,Table1[[#This Row],[Lead_Time_Days]]&gt;10),1,0)</f>
        <v>0</v>
      </c>
    </row>
    <row r="346" spans="1:15" hidden="1" x14ac:dyDescent="0.3">
      <c r="A346" t="s">
        <v>356</v>
      </c>
      <c r="B346" t="s">
        <v>512</v>
      </c>
      <c r="C346" t="s">
        <v>516</v>
      </c>
      <c r="D346">
        <v>30</v>
      </c>
      <c r="E346">
        <v>60</v>
      </c>
      <c r="F346">
        <v>62</v>
      </c>
      <c r="G346">
        <v>4489</v>
      </c>
      <c r="H346">
        <v>12</v>
      </c>
      <c r="I346" s="1">
        <v>45271</v>
      </c>
      <c r="J346" s="7">
        <f>Table1[[#This Row],[Required_Qty]]-Table1[[#This Row],[Available_Qty]]</f>
        <v>-30</v>
      </c>
      <c r="K346" s="7">
        <v>30</v>
      </c>
      <c r="L346" s="7">
        <f>IF(Table1[[#This Row],[Required_Qty]]&gt;Table1[[#This Row],[Available_Qty]],Table1[[#This Row],[Required_Qty]]-Table1[[#This Row],[Available_Qty]],0)</f>
        <v>0</v>
      </c>
      <c r="M346" s="7">
        <f>IF(Table1[[#This Row],[Required_Qty]]&lt;Table1[[#This Row],[Available_Qty]],Table1[[#This Row],[Available_Qty]]-Table1[[#This Row],[Required_Qty]],0)</f>
        <v>30</v>
      </c>
      <c r="N346">
        <v>278318</v>
      </c>
      <c r="O346" s="7">
        <f>IF(AND(Table1[[#This Row],[Clean_Shortage]]&gt;0,Table1[[#This Row],[Lead_Time_Days]]&gt;10),1,0)</f>
        <v>0</v>
      </c>
    </row>
    <row r="347" spans="1:15" hidden="1" x14ac:dyDescent="0.3">
      <c r="A347" t="s">
        <v>357</v>
      </c>
      <c r="B347" t="s">
        <v>512</v>
      </c>
      <c r="C347" t="s">
        <v>517</v>
      </c>
      <c r="D347">
        <v>56</v>
      </c>
      <c r="E347">
        <v>71</v>
      </c>
      <c r="F347">
        <v>72</v>
      </c>
      <c r="G347">
        <v>8604</v>
      </c>
      <c r="H347">
        <v>1</v>
      </c>
      <c r="I347" s="1">
        <v>45272</v>
      </c>
      <c r="J347" s="7">
        <f>Table1[[#This Row],[Required_Qty]]-Table1[[#This Row],[Available_Qty]]</f>
        <v>-15</v>
      </c>
      <c r="K347" s="7">
        <v>15</v>
      </c>
      <c r="L347" s="7">
        <f>IF(Table1[[#This Row],[Required_Qty]]&gt;Table1[[#This Row],[Available_Qty]],Table1[[#This Row],[Required_Qty]]-Table1[[#This Row],[Available_Qty]],0)</f>
        <v>0</v>
      </c>
      <c r="M347" s="7">
        <f>IF(Table1[[#This Row],[Required_Qty]]&lt;Table1[[#This Row],[Available_Qty]],Table1[[#This Row],[Available_Qty]]-Table1[[#This Row],[Required_Qty]],0)</f>
        <v>15</v>
      </c>
      <c r="N347">
        <v>619488</v>
      </c>
      <c r="O347" s="7">
        <f>IF(AND(Table1[[#This Row],[Clean_Shortage]]&gt;0,Table1[[#This Row],[Lead_Time_Days]]&gt;10),1,0)</f>
        <v>0</v>
      </c>
    </row>
    <row r="348" spans="1:15" hidden="1" x14ac:dyDescent="0.3">
      <c r="A348" t="s">
        <v>358</v>
      </c>
      <c r="B348" t="s">
        <v>512</v>
      </c>
      <c r="C348" t="s">
        <v>517</v>
      </c>
      <c r="D348">
        <v>82</v>
      </c>
      <c r="E348">
        <v>96</v>
      </c>
      <c r="F348">
        <v>32</v>
      </c>
      <c r="G348">
        <v>8544</v>
      </c>
      <c r="H348">
        <v>5</v>
      </c>
      <c r="I348" s="1">
        <v>45273</v>
      </c>
      <c r="J348" s="7">
        <f>Table1[[#This Row],[Required_Qty]]-Table1[[#This Row],[Available_Qty]]</f>
        <v>-14</v>
      </c>
      <c r="K348" s="7">
        <v>14</v>
      </c>
      <c r="L348" s="7">
        <f>IF(Table1[[#This Row],[Required_Qty]]&gt;Table1[[#This Row],[Available_Qty]],Table1[[#This Row],[Required_Qty]]-Table1[[#This Row],[Available_Qty]],0)</f>
        <v>0</v>
      </c>
      <c r="M348" s="7">
        <f>IF(Table1[[#This Row],[Required_Qty]]&lt;Table1[[#This Row],[Available_Qty]],Table1[[#This Row],[Available_Qty]]-Table1[[#This Row],[Required_Qty]],0)</f>
        <v>14</v>
      </c>
      <c r="N348">
        <v>273408</v>
      </c>
      <c r="O348" s="7">
        <f>IF(AND(Table1[[#This Row],[Clean_Shortage]]&gt;0,Table1[[#This Row],[Lead_Time_Days]]&gt;10),1,0)</f>
        <v>0</v>
      </c>
    </row>
    <row r="349" spans="1:15" x14ac:dyDescent="0.3">
      <c r="A349" t="s">
        <v>359</v>
      </c>
      <c r="B349" t="s">
        <v>513</v>
      </c>
      <c r="C349" t="s">
        <v>518</v>
      </c>
      <c r="D349">
        <v>62</v>
      </c>
      <c r="E349">
        <v>33</v>
      </c>
      <c r="F349">
        <v>40</v>
      </c>
      <c r="G349">
        <v>3634</v>
      </c>
      <c r="H349">
        <v>13</v>
      </c>
      <c r="I349" s="1">
        <v>45274</v>
      </c>
      <c r="J349" s="7">
        <f>Table1[[#This Row],[Required_Qty]]-Table1[[#This Row],[Available_Qty]]</f>
        <v>29</v>
      </c>
      <c r="K349" s="7">
        <v>-29</v>
      </c>
      <c r="L349" s="7">
        <f>IF(Table1[[#This Row],[Required_Qty]]&gt;Table1[[#This Row],[Available_Qty]],Table1[[#This Row],[Required_Qty]]-Table1[[#This Row],[Available_Qty]],0)</f>
        <v>29</v>
      </c>
      <c r="M349" s="7">
        <f>IF(Table1[[#This Row],[Required_Qty]]&lt;Table1[[#This Row],[Available_Qty]],Table1[[#This Row],[Available_Qty]]-Table1[[#This Row],[Required_Qty]],0)</f>
        <v>0</v>
      </c>
      <c r="N349">
        <v>145360</v>
      </c>
      <c r="O349" s="7">
        <f>IF(AND(Table1[[#This Row],[Clean_Shortage]]&gt;0,Table1[[#This Row],[Lead_Time_Days]]&gt;10),1,0)</f>
        <v>1</v>
      </c>
    </row>
    <row r="350" spans="1:15" hidden="1" x14ac:dyDescent="0.3">
      <c r="A350" t="s">
        <v>360</v>
      </c>
      <c r="B350" t="s">
        <v>513</v>
      </c>
      <c r="C350" t="s">
        <v>516</v>
      </c>
      <c r="D350">
        <v>18</v>
      </c>
      <c r="E350">
        <v>13</v>
      </c>
      <c r="F350">
        <v>47</v>
      </c>
      <c r="G350">
        <v>4983</v>
      </c>
      <c r="H350">
        <v>9</v>
      </c>
      <c r="I350" s="1">
        <v>45275</v>
      </c>
      <c r="J350" s="7">
        <f>Table1[[#This Row],[Required_Qty]]-Table1[[#This Row],[Available_Qty]]</f>
        <v>5</v>
      </c>
      <c r="K350" s="7">
        <v>-5</v>
      </c>
      <c r="L350" s="7">
        <f>IF(Table1[[#This Row],[Required_Qty]]&gt;Table1[[#This Row],[Available_Qty]],Table1[[#This Row],[Required_Qty]]-Table1[[#This Row],[Available_Qty]],0)</f>
        <v>5</v>
      </c>
      <c r="M350" s="7">
        <f>IF(Table1[[#This Row],[Required_Qty]]&lt;Table1[[#This Row],[Available_Qty]],Table1[[#This Row],[Available_Qty]]-Table1[[#This Row],[Required_Qty]],0)</f>
        <v>0</v>
      </c>
      <c r="N350">
        <v>234201</v>
      </c>
      <c r="O350" s="7">
        <f>IF(AND(Table1[[#This Row],[Clean_Shortage]]&gt;0,Table1[[#This Row],[Lead_Time_Days]]&gt;10),1,0)</f>
        <v>0</v>
      </c>
    </row>
    <row r="351" spans="1:15" x14ac:dyDescent="0.3">
      <c r="A351" t="s">
        <v>361</v>
      </c>
      <c r="B351" t="s">
        <v>512</v>
      </c>
      <c r="C351" t="s">
        <v>516</v>
      </c>
      <c r="D351">
        <v>83</v>
      </c>
      <c r="E351">
        <v>71</v>
      </c>
      <c r="F351">
        <v>12</v>
      </c>
      <c r="G351">
        <v>2778</v>
      </c>
      <c r="H351">
        <v>13</v>
      </c>
      <c r="I351" s="1">
        <v>45276</v>
      </c>
      <c r="J351" s="7">
        <f>Table1[[#This Row],[Required_Qty]]-Table1[[#This Row],[Available_Qty]]</f>
        <v>12</v>
      </c>
      <c r="K351" s="7">
        <v>-12</v>
      </c>
      <c r="L351" s="7">
        <f>IF(Table1[[#This Row],[Required_Qty]]&gt;Table1[[#This Row],[Available_Qty]],Table1[[#This Row],[Required_Qty]]-Table1[[#This Row],[Available_Qty]],0)</f>
        <v>12</v>
      </c>
      <c r="M351" s="7">
        <f>IF(Table1[[#This Row],[Required_Qty]]&lt;Table1[[#This Row],[Available_Qty]],Table1[[#This Row],[Available_Qty]]-Table1[[#This Row],[Required_Qty]],0)</f>
        <v>0</v>
      </c>
      <c r="N351">
        <v>33336</v>
      </c>
      <c r="O351" s="7">
        <f>IF(AND(Table1[[#This Row],[Clean_Shortage]]&gt;0,Table1[[#This Row],[Lead_Time_Days]]&gt;10),1,0)</f>
        <v>1</v>
      </c>
    </row>
    <row r="352" spans="1:15" hidden="1" x14ac:dyDescent="0.3">
      <c r="A352" t="s">
        <v>362</v>
      </c>
      <c r="B352" t="s">
        <v>513</v>
      </c>
      <c r="C352" t="s">
        <v>517</v>
      </c>
      <c r="D352">
        <v>61</v>
      </c>
      <c r="E352">
        <v>29</v>
      </c>
      <c r="F352">
        <v>72</v>
      </c>
      <c r="G352">
        <v>8902</v>
      </c>
      <c r="H352">
        <v>9</v>
      </c>
      <c r="I352" s="1">
        <v>45277</v>
      </c>
      <c r="J352" s="7">
        <f>Table1[[#This Row],[Required_Qty]]-Table1[[#This Row],[Available_Qty]]</f>
        <v>32</v>
      </c>
      <c r="K352" s="7">
        <v>-32</v>
      </c>
      <c r="L352" s="7">
        <f>IF(Table1[[#This Row],[Required_Qty]]&gt;Table1[[#This Row],[Available_Qty]],Table1[[#This Row],[Required_Qty]]-Table1[[#This Row],[Available_Qty]],0)</f>
        <v>32</v>
      </c>
      <c r="M352" s="7">
        <f>IF(Table1[[#This Row],[Required_Qty]]&lt;Table1[[#This Row],[Available_Qty]],Table1[[#This Row],[Available_Qty]]-Table1[[#This Row],[Required_Qty]],0)</f>
        <v>0</v>
      </c>
      <c r="N352">
        <v>640944</v>
      </c>
      <c r="O352" s="7">
        <f>IF(AND(Table1[[#This Row],[Clean_Shortage]]&gt;0,Table1[[#This Row],[Lead_Time_Days]]&gt;10),1,0)</f>
        <v>0</v>
      </c>
    </row>
    <row r="353" spans="1:15" hidden="1" x14ac:dyDescent="0.3">
      <c r="A353" t="s">
        <v>363</v>
      </c>
      <c r="B353" t="s">
        <v>514</v>
      </c>
      <c r="C353" t="s">
        <v>517</v>
      </c>
      <c r="D353">
        <v>66</v>
      </c>
      <c r="E353">
        <v>102</v>
      </c>
      <c r="F353">
        <v>76</v>
      </c>
      <c r="G353">
        <v>6110</v>
      </c>
      <c r="H353">
        <v>4</v>
      </c>
      <c r="I353" s="1">
        <v>45278</v>
      </c>
      <c r="J353" s="7">
        <f>Table1[[#This Row],[Required_Qty]]-Table1[[#This Row],[Available_Qty]]</f>
        <v>-36</v>
      </c>
      <c r="K353" s="7">
        <v>36</v>
      </c>
      <c r="L353" s="7">
        <f>IF(Table1[[#This Row],[Required_Qty]]&gt;Table1[[#This Row],[Available_Qty]],Table1[[#This Row],[Required_Qty]]-Table1[[#This Row],[Available_Qty]],0)</f>
        <v>0</v>
      </c>
      <c r="M353" s="7">
        <f>IF(Table1[[#This Row],[Required_Qty]]&lt;Table1[[#This Row],[Available_Qty]],Table1[[#This Row],[Available_Qty]]-Table1[[#This Row],[Required_Qty]],0)</f>
        <v>36</v>
      </c>
      <c r="N353">
        <v>464360</v>
      </c>
      <c r="O353" s="7">
        <f>IF(AND(Table1[[#This Row],[Clean_Shortage]]&gt;0,Table1[[#This Row],[Lead_Time_Days]]&gt;10),1,0)</f>
        <v>0</v>
      </c>
    </row>
    <row r="354" spans="1:15" hidden="1" x14ac:dyDescent="0.3">
      <c r="A354" t="s">
        <v>364</v>
      </c>
      <c r="B354" t="s">
        <v>514</v>
      </c>
      <c r="C354" t="s">
        <v>518</v>
      </c>
      <c r="D354">
        <v>35</v>
      </c>
      <c r="E354">
        <v>80</v>
      </c>
      <c r="F354">
        <v>30</v>
      </c>
      <c r="G354">
        <v>6189</v>
      </c>
      <c r="H354">
        <v>3</v>
      </c>
      <c r="I354" s="1">
        <v>45279</v>
      </c>
      <c r="J354" s="7">
        <f>Table1[[#This Row],[Required_Qty]]-Table1[[#This Row],[Available_Qty]]</f>
        <v>-45</v>
      </c>
      <c r="K354" s="7">
        <v>45</v>
      </c>
      <c r="L354" s="7">
        <f>IF(Table1[[#This Row],[Required_Qty]]&gt;Table1[[#This Row],[Available_Qty]],Table1[[#This Row],[Required_Qty]]-Table1[[#This Row],[Available_Qty]],0)</f>
        <v>0</v>
      </c>
      <c r="M354" s="7">
        <f>IF(Table1[[#This Row],[Required_Qty]]&lt;Table1[[#This Row],[Available_Qty]],Table1[[#This Row],[Available_Qty]]-Table1[[#This Row],[Required_Qty]],0)</f>
        <v>45</v>
      </c>
      <c r="N354">
        <v>185670</v>
      </c>
      <c r="O354" s="7">
        <f>IF(AND(Table1[[#This Row],[Clean_Shortage]]&gt;0,Table1[[#This Row],[Lead_Time_Days]]&gt;10),1,0)</f>
        <v>0</v>
      </c>
    </row>
    <row r="355" spans="1:15" hidden="1" x14ac:dyDescent="0.3">
      <c r="A355" t="s">
        <v>365</v>
      </c>
      <c r="B355" t="s">
        <v>513</v>
      </c>
      <c r="C355" t="s">
        <v>518</v>
      </c>
      <c r="D355">
        <v>50</v>
      </c>
      <c r="E355">
        <v>46</v>
      </c>
      <c r="F355">
        <v>74</v>
      </c>
      <c r="G355">
        <v>8378</v>
      </c>
      <c r="H355">
        <v>1</v>
      </c>
      <c r="I355" s="1">
        <v>45280</v>
      </c>
      <c r="J355" s="7">
        <f>Table1[[#This Row],[Required_Qty]]-Table1[[#This Row],[Available_Qty]]</f>
        <v>4</v>
      </c>
      <c r="K355" s="7">
        <v>-4</v>
      </c>
      <c r="L355" s="7">
        <f>IF(Table1[[#This Row],[Required_Qty]]&gt;Table1[[#This Row],[Available_Qty]],Table1[[#This Row],[Required_Qty]]-Table1[[#This Row],[Available_Qty]],0)</f>
        <v>4</v>
      </c>
      <c r="M355" s="7">
        <f>IF(Table1[[#This Row],[Required_Qty]]&lt;Table1[[#This Row],[Available_Qty]],Table1[[#This Row],[Available_Qty]]-Table1[[#This Row],[Required_Qty]],0)</f>
        <v>0</v>
      </c>
      <c r="N355">
        <v>619972</v>
      </c>
      <c r="O355" s="7">
        <f>IF(AND(Table1[[#This Row],[Clean_Shortage]]&gt;0,Table1[[#This Row],[Lead_Time_Days]]&gt;10),1,0)</f>
        <v>0</v>
      </c>
    </row>
    <row r="356" spans="1:15" hidden="1" x14ac:dyDescent="0.3">
      <c r="A356" t="s">
        <v>366</v>
      </c>
      <c r="B356" t="s">
        <v>513</v>
      </c>
      <c r="C356" t="s">
        <v>516</v>
      </c>
      <c r="D356">
        <v>44</v>
      </c>
      <c r="E356">
        <v>13</v>
      </c>
      <c r="F356">
        <v>67</v>
      </c>
      <c r="G356">
        <v>2124</v>
      </c>
      <c r="H356">
        <v>2</v>
      </c>
      <c r="I356" s="1">
        <v>45281</v>
      </c>
      <c r="J356" s="7">
        <f>Table1[[#This Row],[Required_Qty]]-Table1[[#This Row],[Available_Qty]]</f>
        <v>31</v>
      </c>
      <c r="K356" s="7">
        <v>-31</v>
      </c>
      <c r="L356" s="7">
        <f>IF(Table1[[#This Row],[Required_Qty]]&gt;Table1[[#This Row],[Available_Qty]],Table1[[#This Row],[Required_Qty]]-Table1[[#This Row],[Available_Qty]],0)</f>
        <v>31</v>
      </c>
      <c r="M356" s="7">
        <f>IF(Table1[[#This Row],[Required_Qty]]&lt;Table1[[#This Row],[Available_Qty]],Table1[[#This Row],[Available_Qty]]-Table1[[#This Row],[Required_Qty]],0)</f>
        <v>0</v>
      </c>
      <c r="N356">
        <v>142308</v>
      </c>
      <c r="O356" s="7">
        <f>IF(AND(Table1[[#This Row],[Clean_Shortage]]&gt;0,Table1[[#This Row],[Lead_Time_Days]]&gt;10),1,0)</f>
        <v>0</v>
      </c>
    </row>
    <row r="357" spans="1:15" hidden="1" x14ac:dyDescent="0.3">
      <c r="A357" t="s">
        <v>367</v>
      </c>
      <c r="B357" t="s">
        <v>512</v>
      </c>
      <c r="C357" t="s">
        <v>516</v>
      </c>
      <c r="D357">
        <v>72</v>
      </c>
      <c r="E357">
        <v>83</v>
      </c>
      <c r="F357">
        <v>3</v>
      </c>
      <c r="G357">
        <v>1697</v>
      </c>
      <c r="H357">
        <v>8</v>
      </c>
      <c r="I357" s="1">
        <v>45282</v>
      </c>
      <c r="J357" s="7">
        <f>Table1[[#This Row],[Required_Qty]]-Table1[[#This Row],[Available_Qty]]</f>
        <v>-11</v>
      </c>
      <c r="K357" s="7">
        <v>11</v>
      </c>
      <c r="L357" s="7">
        <f>IF(Table1[[#This Row],[Required_Qty]]&gt;Table1[[#This Row],[Available_Qty]],Table1[[#This Row],[Required_Qty]]-Table1[[#This Row],[Available_Qty]],0)</f>
        <v>0</v>
      </c>
      <c r="M357" s="7">
        <f>IF(Table1[[#This Row],[Required_Qty]]&lt;Table1[[#This Row],[Available_Qty]],Table1[[#This Row],[Available_Qty]]-Table1[[#This Row],[Required_Qty]],0)</f>
        <v>11</v>
      </c>
      <c r="N357">
        <v>5091</v>
      </c>
      <c r="O357" s="7">
        <f>IF(AND(Table1[[#This Row],[Clean_Shortage]]&gt;0,Table1[[#This Row],[Lead_Time_Days]]&gt;10),1,0)</f>
        <v>0</v>
      </c>
    </row>
    <row r="358" spans="1:15" hidden="1" x14ac:dyDescent="0.3">
      <c r="A358" t="s">
        <v>368</v>
      </c>
      <c r="B358" t="s">
        <v>515</v>
      </c>
      <c r="C358" t="s">
        <v>517</v>
      </c>
      <c r="D358">
        <v>34</v>
      </c>
      <c r="E358">
        <v>44</v>
      </c>
      <c r="F358">
        <v>18</v>
      </c>
      <c r="G358">
        <v>3179</v>
      </c>
      <c r="H358">
        <v>1</v>
      </c>
      <c r="I358" s="1">
        <v>45283</v>
      </c>
      <c r="J358" s="7">
        <f>Table1[[#This Row],[Required_Qty]]-Table1[[#This Row],[Available_Qty]]</f>
        <v>-10</v>
      </c>
      <c r="K358" s="7">
        <v>10</v>
      </c>
      <c r="L358" s="7">
        <f>IF(Table1[[#This Row],[Required_Qty]]&gt;Table1[[#This Row],[Available_Qty]],Table1[[#This Row],[Required_Qty]]-Table1[[#This Row],[Available_Qty]],0)</f>
        <v>0</v>
      </c>
      <c r="M358" s="7">
        <f>IF(Table1[[#This Row],[Required_Qty]]&lt;Table1[[#This Row],[Available_Qty]],Table1[[#This Row],[Available_Qty]]-Table1[[#This Row],[Required_Qty]],0)</f>
        <v>10</v>
      </c>
      <c r="N358">
        <v>57222</v>
      </c>
      <c r="O358" s="7">
        <f>IF(AND(Table1[[#This Row],[Clean_Shortage]]&gt;0,Table1[[#This Row],[Lead_Time_Days]]&gt;10),1,0)</f>
        <v>0</v>
      </c>
    </row>
    <row r="359" spans="1:15" hidden="1" x14ac:dyDescent="0.3">
      <c r="A359" t="s">
        <v>369</v>
      </c>
      <c r="B359" t="s">
        <v>513</v>
      </c>
      <c r="C359" t="s">
        <v>516</v>
      </c>
      <c r="D359">
        <v>99</v>
      </c>
      <c r="E359">
        <v>29</v>
      </c>
      <c r="F359">
        <v>69</v>
      </c>
      <c r="G359">
        <v>6251</v>
      </c>
      <c r="H359">
        <v>8</v>
      </c>
      <c r="I359" s="1">
        <v>45284</v>
      </c>
      <c r="J359" s="7">
        <f>Table1[[#This Row],[Required_Qty]]-Table1[[#This Row],[Available_Qty]]</f>
        <v>70</v>
      </c>
      <c r="K359" s="7">
        <v>-70</v>
      </c>
      <c r="L359" s="7">
        <f>IF(Table1[[#This Row],[Required_Qty]]&gt;Table1[[#This Row],[Available_Qty]],Table1[[#This Row],[Required_Qty]]-Table1[[#This Row],[Available_Qty]],0)</f>
        <v>70</v>
      </c>
      <c r="M359" s="7">
        <f>IF(Table1[[#This Row],[Required_Qty]]&lt;Table1[[#This Row],[Available_Qty]],Table1[[#This Row],[Available_Qty]]-Table1[[#This Row],[Required_Qty]],0)</f>
        <v>0</v>
      </c>
      <c r="N359">
        <v>431319</v>
      </c>
      <c r="O359" s="7">
        <f>IF(AND(Table1[[#This Row],[Clean_Shortage]]&gt;0,Table1[[#This Row],[Lead_Time_Days]]&gt;10),1,0)</f>
        <v>0</v>
      </c>
    </row>
    <row r="360" spans="1:15" x14ac:dyDescent="0.3">
      <c r="A360" t="s">
        <v>370</v>
      </c>
      <c r="B360" t="s">
        <v>514</v>
      </c>
      <c r="C360" t="s">
        <v>518</v>
      </c>
      <c r="D360">
        <v>84</v>
      </c>
      <c r="E360">
        <v>9</v>
      </c>
      <c r="F360">
        <v>12</v>
      </c>
      <c r="G360">
        <v>2929</v>
      </c>
      <c r="H360">
        <v>13</v>
      </c>
      <c r="I360" s="1">
        <v>45285</v>
      </c>
      <c r="J360" s="7">
        <f>Table1[[#This Row],[Required_Qty]]-Table1[[#This Row],[Available_Qty]]</f>
        <v>75</v>
      </c>
      <c r="K360" s="7">
        <v>-75</v>
      </c>
      <c r="L360" s="7">
        <f>IF(Table1[[#This Row],[Required_Qty]]&gt;Table1[[#This Row],[Available_Qty]],Table1[[#This Row],[Required_Qty]]-Table1[[#This Row],[Available_Qty]],0)</f>
        <v>75</v>
      </c>
      <c r="M360" s="7">
        <f>IF(Table1[[#This Row],[Required_Qty]]&lt;Table1[[#This Row],[Available_Qty]],Table1[[#This Row],[Available_Qty]]-Table1[[#This Row],[Required_Qty]],0)</f>
        <v>0</v>
      </c>
      <c r="N360">
        <v>35148</v>
      </c>
      <c r="O360" s="7">
        <f>IF(AND(Table1[[#This Row],[Clean_Shortage]]&gt;0,Table1[[#This Row],[Lead_Time_Days]]&gt;10),1,0)</f>
        <v>1</v>
      </c>
    </row>
    <row r="361" spans="1:15" hidden="1" x14ac:dyDescent="0.3">
      <c r="A361" t="s">
        <v>371</v>
      </c>
      <c r="B361" t="s">
        <v>512</v>
      </c>
      <c r="C361" t="s">
        <v>518</v>
      </c>
      <c r="D361">
        <v>47</v>
      </c>
      <c r="E361">
        <v>15</v>
      </c>
      <c r="F361">
        <v>22</v>
      </c>
      <c r="G361">
        <v>2013</v>
      </c>
      <c r="H361">
        <v>7</v>
      </c>
      <c r="I361" s="1">
        <v>45286</v>
      </c>
      <c r="J361" s="7">
        <f>Table1[[#This Row],[Required_Qty]]-Table1[[#This Row],[Available_Qty]]</f>
        <v>32</v>
      </c>
      <c r="K361" s="7">
        <v>-32</v>
      </c>
      <c r="L361" s="7">
        <f>IF(Table1[[#This Row],[Required_Qty]]&gt;Table1[[#This Row],[Available_Qty]],Table1[[#This Row],[Required_Qty]]-Table1[[#This Row],[Available_Qty]],0)</f>
        <v>32</v>
      </c>
      <c r="M361" s="7">
        <f>IF(Table1[[#This Row],[Required_Qty]]&lt;Table1[[#This Row],[Available_Qty]],Table1[[#This Row],[Available_Qty]]-Table1[[#This Row],[Required_Qty]],0)</f>
        <v>0</v>
      </c>
      <c r="N361">
        <v>44286</v>
      </c>
      <c r="O361" s="7">
        <f>IF(AND(Table1[[#This Row],[Clean_Shortage]]&gt;0,Table1[[#This Row],[Lead_Time_Days]]&gt;10),1,0)</f>
        <v>0</v>
      </c>
    </row>
    <row r="362" spans="1:15" hidden="1" x14ac:dyDescent="0.3">
      <c r="A362" t="s">
        <v>372</v>
      </c>
      <c r="B362" t="s">
        <v>513</v>
      </c>
      <c r="C362" t="s">
        <v>517</v>
      </c>
      <c r="D362">
        <v>11</v>
      </c>
      <c r="E362">
        <v>63</v>
      </c>
      <c r="F362">
        <v>74</v>
      </c>
      <c r="G362">
        <v>1226</v>
      </c>
      <c r="H362">
        <v>8</v>
      </c>
      <c r="I362" s="1">
        <v>45287</v>
      </c>
      <c r="J362" s="7">
        <f>Table1[[#This Row],[Required_Qty]]-Table1[[#This Row],[Available_Qty]]</f>
        <v>-52</v>
      </c>
      <c r="K362" s="7">
        <v>52</v>
      </c>
      <c r="L362" s="7">
        <f>IF(Table1[[#This Row],[Required_Qty]]&gt;Table1[[#This Row],[Available_Qty]],Table1[[#This Row],[Required_Qty]]-Table1[[#This Row],[Available_Qty]],0)</f>
        <v>0</v>
      </c>
      <c r="M362" s="7">
        <f>IF(Table1[[#This Row],[Required_Qty]]&lt;Table1[[#This Row],[Available_Qty]],Table1[[#This Row],[Available_Qty]]-Table1[[#This Row],[Required_Qty]],0)</f>
        <v>52</v>
      </c>
      <c r="N362">
        <v>90724</v>
      </c>
      <c r="O362" s="7">
        <f>IF(AND(Table1[[#This Row],[Clean_Shortage]]&gt;0,Table1[[#This Row],[Lead_Time_Days]]&gt;10),1,0)</f>
        <v>0</v>
      </c>
    </row>
    <row r="363" spans="1:15" hidden="1" x14ac:dyDescent="0.3">
      <c r="A363" t="s">
        <v>373</v>
      </c>
      <c r="B363" t="s">
        <v>514</v>
      </c>
      <c r="C363" t="s">
        <v>518</v>
      </c>
      <c r="D363">
        <v>16</v>
      </c>
      <c r="E363">
        <v>102</v>
      </c>
      <c r="F363">
        <v>0</v>
      </c>
      <c r="G363">
        <v>8321</v>
      </c>
      <c r="H363">
        <v>12</v>
      </c>
      <c r="I363" s="1">
        <v>45288</v>
      </c>
      <c r="J363" s="7">
        <f>Table1[[#This Row],[Required_Qty]]-Table1[[#This Row],[Available_Qty]]</f>
        <v>-86</v>
      </c>
      <c r="K363" s="7">
        <v>86</v>
      </c>
      <c r="L363" s="7">
        <f>IF(Table1[[#This Row],[Required_Qty]]&gt;Table1[[#This Row],[Available_Qty]],Table1[[#This Row],[Required_Qty]]-Table1[[#This Row],[Available_Qty]],0)</f>
        <v>0</v>
      </c>
      <c r="M363" s="7">
        <f>IF(Table1[[#This Row],[Required_Qty]]&lt;Table1[[#This Row],[Available_Qty]],Table1[[#This Row],[Available_Qty]]-Table1[[#This Row],[Required_Qty]],0)</f>
        <v>86</v>
      </c>
      <c r="N363">
        <v>0</v>
      </c>
      <c r="O363" s="7">
        <f>IF(AND(Table1[[#This Row],[Clean_Shortage]]&gt;0,Table1[[#This Row],[Lead_Time_Days]]&gt;10),1,0)</f>
        <v>0</v>
      </c>
    </row>
    <row r="364" spans="1:15" hidden="1" x14ac:dyDescent="0.3">
      <c r="A364" t="s">
        <v>374</v>
      </c>
      <c r="B364" t="s">
        <v>514</v>
      </c>
      <c r="C364" t="s">
        <v>518</v>
      </c>
      <c r="D364">
        <v>91</v>
      </c>
      <c r="E364">
        <v>92</v>
      </c>
      <c r="F364">
        <v>53</v>
      </c>
      <c r="G364">
        <v>2828</v>
      </c>
      <c r="H364">
        <v>6</v>
      </c>
      <c r="I364" s="1">
        <v>45289</v>
      </c>
      <c r="J364" s="7">
        <f>Table1[[#This Row],[Required_Qty]]-Table1[[#This Row],[Available_Qty]]</f>
        <v>-1</v>
      </c>
      <c r="K364" s="7">
        <v>1</v>
      </c>
      <c r="L364" s="7">
        <f>IF(Table1[[#This Row],[Required_Qty]]&gt;Table1[[#This Row],[Available_Qty]],Table1[[#This Row],[Required_Qty]]-Table1[[#This Row],[Available_Qty]],0)</f>
        <v>0</v>
      </c>
      <c r="M364" s="7">
        <f>IF(Table1[[#This Row],[Required_Qty]]&lt;Table1[[#This Row],[Available_Qty]],Table1[[#This Row],[Available_Qty]]-Table1[[#This Row],[Required_Qty]],0)</f>
        <v>1</v>
      </c>
      <c r="N364">
        <v>149884</v>
      </c>
      <c r="O364" s="7">
        <f>IF(AND(Table1[[#This Row],[Clean_Shortage]]&gt;0,Table1[[#This Row],[Lead_Time_Days]]&gt;10),1,0)</f>
        <v>0</v>
      </c>
    </row>
    <row r="365" spans="1:15" hidden="1" x14ac:dyDescent="0.3">
      <c r="A365" t="s">
        <v>375</v>
      </c>
      <c r="B365" t="s">
        <v>515</v>
      </c>
      <c r="C365" t="s">
        <v>518</v>
      </c>
      <c r="D365">
        <v>43</v>
      </c>
      <c r="E365">
        <v>83</v>
      </c>
      <c r="F365">
        <v>70</v>
      </c>
      <c r="G365">
        <v>8909</v>
      </c>
      <c r="H365">
        <v>12</v>
      </c>
      <c r="I365" s="1">
        <v>45290</v>
      </c>
      <c r="J365" s="7">
        <f>Table1[[#This Row],[Required_Qty]]-Table1[[#This Row],[Available_Qty]]</f>
        <v>-40</v>
      </c>
      <c r="K365" s="7">
        <v>40</v>
      </c>
      <c r="L365" s="7">
        <f>IF(Table1[[#This Row],[Required_Qty]]&gt;Table1[[#This Row],[Available_Qty]],Table1[[#This Row],[Required_Qty]]-Table1[[#This Row],[Available_Qty]],0)</f>
        <v>0</v>
      </c>
      <c r="M365" s="7">
        <f>IF(Table1[[#This Row],[Required_Qty]]&lt;Table1[[#This Row],[Available_Qty]],Table1[[#This Row],[Available_Qty]]-Table1[[#This Row],[Required_Qty]],0)</f>
        <v>40</v>
      </c>
      <c r="N365">
        <v>623630</v>
      </c>
      <c r="O365" s="7">
        <f>IF(AND(Table1[[#This Row],[Clean_Shortage]]&gt;0,Table1[[#This Row],[Lead_Time_Days]]&gt;10),1,0)</f>
        <v>0</v>
      </c>
    </row>
    <row r="366" spans="1:15" hidden="1" x14ac:dyDescent="0.3">
      <c r="A366" t="s">
        <v>376</v>
      </c>
      <c r="B366" t="s">
        <v>512</v>
      </c>
      <c r="C366" t="s">
        <v>518</v>
      </c>
      <c r="D366">
        <v>26</v>
      </c>
      <c r="E366">
        <v>42</v>
      </c>
      <c r="F366">
        <v>14</v>
      </c>
      <c r="G366">
        <v>6588</v>
      </c>
      <c r="H366">
        <v>14</v>
      </c>
      <c r="I366" s="1">
        <v>45291</v>
      </c>
      <c r="J366" s="7">
        <f>Table1[[#This Row],[Required_Qty]]-Table1[[#This Row],[Available_Qty]]</f>
        <v>-16</v>
      </c>
      <c r="K366" s="7">
        <v>16</v>
      </c>
      <c r="L366" s="7">
        <f>IF(Table1[[#This Row],[Required_Qty]]&gt;Table1[[#This Row],[Available_Qty]],Table1[[#This Row],[Required_Qty]]-Table1[[#This Row],[Available_Qty]],0)</f>
        <v>0</v>
      </c>
      <c r="M366" s="7">
        <f>IF(Table1[[#This Row],[Required_Qty]]&lt;Table1[[#This Row],[Available_Qty]],Table1[[#This Row],[Available_Qty]]-Table1[[#This Row],[Required_Qty]],0)</f>
        <v>16</v>
      </c>
      <c r="N366">
        <v>92232</v>
      </c>
      <c r="O366" s="7">
        <f>IF(AND(Table1[[#This Row],[Clean_Shortage]]&gt;0,Table1[[#This Row],[Lead_Time_Days]]&gt;10),1,0)</f>
        <v>0</v>
      </c>
    </row>
    <row r="367" spans="1:15" hidden="1" x14ac:dyDescent="0.3">
      <c r="A367" t="s">
        <v>377</v>
      </c>
      <c r="B367" t="s">
        <v>512</v>
      </c>
      <c r="C367" t="s">
        <v>517</v>
      </c>
      <c r="D367">
        <v>52</v>
      </c>
      <c r="E367">
        <v>76</v>
      </c>
      <c r="F367">
        <v>64</v>
      </c>
      <c r="G367">
        <v>3023</v>
      </c>
      <c r="H367">
        <v>9</v>
      </c>
      <c r="I367" s="1">
        <v>45292</v>
      </c>
      <c r="J367" s="7">
        <f>Table1[[#This Row],[Required_Qty]]-Table1[[#This Row],[Available_Qty]]</f>
        <v>-24</v>
      </c>
      <c r="K367" s="7">
        <v>24</v>
      </c>
      <c r="L367" s="7">
        <f>IF(Table1[[#This Row],[Required_Qty]]&gt;Table1[[#This Row],[Available_Qty]],Table1[[#This Row],[Required_Qty]]-Table1[[#This Row],[Available_Qty]],0)</f>
        <v>0</v>
      </c>
      <c r="M367" s="7">
        <f>IF(Table1[[#This Row],[Required_Qty]]&lt;Table1[[#This Row],[Available_Qty]],Table1[[#This Row],[Available_Qty]]-Table1[[#This Row],[Required_Qty]],0)</f>
        <v>24</v>
      </c>
      <c r="N367">
        <v>193472</v>
      </c>
      <c r="O367" s="7">
        <f>IF(AND(Table1[[#This Row],[Clean_Shortage]]&gt;0,Table1[[#This Row],[Lead_Time_Days]]&gt;10),1,0)</f>
        <v>0</v>
      </c>
    </row>
    <row r="368" spans="1:15" hidden="1" x14ac:dyDescent="0.3">
      <c r="A368" t="s">
        <v>378</v>
      </c>
      <c r="B368" t="s">
        <v>515</v>
      </c>
      <c r="C368" t="s">
        <v>517</v>
      </c>
      <c r="D368">
        <v>68</v>
      </c>
      <c r="E368">
        <v>9</v>
      </c>
      <c r="F368">
        <v>75</v>
      </c>
      <c r="G368">
        <v>5966</v>
      </c>
      <c r="H368">
        <v>3</v>
      </c>
      <c r="I368" s="1">
        <v>45293</v>
      </c>
      <c r="J368" s="7">
        <f>Table1[[#This Row],[Required_Qty]]-Table1[[#This Row],[Available_Qty]]</f>
        <v>59</v>
      </c>
      <c r="K368" s="7">
        <v>-59</v>
      </c>
      <c r="L368" s="7">
        <f>IF(Table1[[#This Row],[Required_Qty]]&gt;Table1[[#This Row],[Available_Qty]],Table1[[#This Row],[Required_Qty]]-Table1[[#This Row],[Available_Qty]],0)</f>
        <v>59</v>
      </c>
      <c r="M368" s="7">
        <f>IF(Table1[[#This Row],[Required_Qty]]&lt;Table1[[#This Row],[Available_Qty]],Table1[[#This Row],[Available_Qty]]-Table1[[#This Row],[Required_Qty]],0)</f>
        <v>0</v>
      </c>
      <c r="N368">
        <v>447450</v>
      </c>
      <c r="O368" s="7">
        <f>IF(AND(Table1[[#This Row],[Clean_Shortage]]&gt;0,Table1[[#This Row],[Lead_Time_Days]]&gt;10),1,0)</f>
        <v>0</v>
      </c>
    </row>
    <row r="369" spans="1:15" hidden="1" x14ac:dyDescent="0.3">
      <c r="A369" t="s">
        <v>379</v>
      </c>
      <c r="B369" t="s">
        <v>515</v>
      </c>
      <c r="C369" t="s">
        <v>516</v>
      </c>
      <c r="D369">
        <v>60</v>
      </c>
      <c r="E369">
        <v>52</v>
      </c>
      <c r="F369">
        <v>70</v>
      </c>
      <c r="G369">
        <v>6891</v>
      </c>
      <c r="H369">
        <v>10</v>
      </c>
      <c r="I369" s="1">
        <v>45294</v>
      </c>
      <c r="J369" s="7">
        <f>Table1[[#This Row],[Required_Qty]]-Table1[[#This Row],[Available_Qty]]</f>
        <v>8</v>
      </c>
      <c r="K369" s="7">
        <v>-8</v>
      </c>
      <c r="L369" s="7">
        <f>IF(Table1[[#This Row],[Required_Qty]]&gt;Table1[[#This Row],[Available_Qty]],Table1[[#This Row],[Required_Qty]]-Table1[[#This Row],[Available_Qty]],0)</f>
        <v>8</v>
      </c>
      <c r="M369" s="7">
        <f>IF(Table1[[#This Row],[Required_Qty]]&lt;Table1[[#This Row],[Available_Qty]],Table1[[#This Row],[Available_Qty]]-Table1[[#This Row],[Required_Qty]],0)</f>
        <v>0</v>
      </c>
      <c r="N369">
        <v>482370</v>
      </c>
      <c r="O369" s="7">
        <f>IF(AND(Table1[[#This Row],[Clean_Shortage]]&gt;0,Table1[[#This Row],[Lead_Time_Days]]&gt;10),1,0)</f>
        <v>0</v>
      </c>
    </row>
    <row r="370" spans="1:15" hidden="1" x14ac:dyDescent="0.3">
      <c r="A370" t="s">
        <v>380</v>
      </c>
      <c r="B370" t="s">
        <v>512</v>
      </c>
      <c r="C370" t="s">
        <v>518</v>
      </c>
      <c r="D370">
        <v>63</v>
      </c>
      <c r="E370">
        <v>94</v>
      </c>
      <c r="F370">
        <v>14</v>
      </c>
      <c r="G370">
        <v>2080</v>
      </c>
      <c r="H370">
        <v>4</v>
      </c>
      <c r="I370" s="1">
        <v>45295</v>
      </c>
      <c r="J370" s="7">
        <f>Table1[[#This Row],[Required_Qty]]-Table1[[#This Row],[Available_Qty]]</f>
        <v>-31</v>
      </c>
      <c r="K370" s="7">
        <v>31</v>
      </c>
      <c r="L370" s="7">
        <f>IF(Table1[[#This Row],[Required_Qty]]&gt;Table1[[#This Row],[Available_Qty]],Table1[[#This Row],[Required_Qty]]-Table1[[#This Row],[Available_Qty]],0)</f>
        <v>0</v>
      </c>
      <c r="M370" s="7">
        <f>IF(Table1[[#This Row],[Required_Qty]]&lt;Table1[[#This Row],[Available_Qty]],Table1[[#This Row],[Available_Qty]]-Table1[[#This Row],[Required_Qty]],0)</f>
        <v>31</v>
      </c>
      <c r="N370">
        <v>29120</v>
      </c>
      <c r="O370" s="7">
        <f>IF(AND(Table1[[#This Row],[Clean_Shortage]]&gt;0,Table1[[#This Row],[Lead_Time_Days]]&gt;10),1,0)</f>
        <v>0</v>
      </c>
    </row>
    <row r="371" spans="1:15" x14ac:dyDescent="0.3">
      <c r="A371" t="s">
        <v>381</v>
      </c>
      <c r="B371" t="s">
        <v>512</v>
      </c>
      <c r="C371" t="s">
        <v>516</v>
      </c>
      <c r="D371">
        <v>33</v>
      </c>
      <c r="E371">
        <v>22</v>
      </c>
      <c r="F371">
        <v>20</v>
      </c>
      <c r="G371">
        <v>6036</v>
      </c>
      <c r="H371">
        <v>13</v>
      </c>
      <c r="I371" s="1">
        <v>45296</v>
      </c>
      <c r="J371" s="7">
        <f>Table1[[#This Row],[Required_Qty]]-Table1[[#This Row],[Available_Qty]]</f>
        <v>11</v>
      </c>
      <c r="K371" s="7">
        <v>-11</v>
      </c>
      <c r="L371" s="7">
        <f>IF(Table1[[#This Row],[Required_Qty]]&gt;Table1[[#This Row],[Available_Qty]],Table1[[#This Row],[Required_Qty]]-Table1[[#This Row],[Available_Qty]],0)</f>
        <v>11</v>
      </c>
      <c r="M371" s="7">
        <f>IF(Table1[[#This Row],[Required_Qty]]&lt;Table1[[#This Row],[Available_Qty]],Table1[[#This Row],[Available_Qty]]-Table1[[#This Row],[Required_Qty]],0)</f>
        <v>0</v>
      </c>
      <c r="N371">
        <v>120720</v>
      </c>
      <c r="O371" s="7">
        <f>IF(AND(Table1[[#This Row],[Clean_Shortage]]&gt;0,Table1[[#This Row],[Lead_Time_Days]]&gt;10),1,0)</f>
        <v>1</v>
      </c>
    </row>
    <row r="372" spans="1:15" hidden="1" x14ac:dyDescent="0.3">
      <c r="A372" t="s">
        <v>382</v>
      </c>
      <c r="B372" t="s">
        <v>513</v>
      </c>
      <c r="C372" t="s">
        <v>517</v>
      </c>
      <c r="D372">
        <v>34</v>
      </c>
      <c r="E372">
        <v>74</v>
      </c>
      <c r="F372">
        <v>18</v>
      </c>
      <c r="G372">
        <v>3563</v>
      </c>
      <c r="H372">
        <v>6</v>
      </c>
      <c r="I372" s="1">
        <v>45297</v>
      </c>
      <c r="J372" s="7">
        <f>Table1[[#This Row],[Required_Qty]]-Table1[[#This Row],[Available_Qty]]</f>
        <v>-40</v>
      </c>
      <c r="K372" s="7">
        <v>40</v>
      </c>
      <c r="L372" s="7">
        <f>IF(Table1[[#This Row],[Required_Qty]]&gt;Table1[[#This Row],[Available_Qty]],Table1[[#This Row],[Required_Qty]]-Table1[[#This Row],[Available_Qty]],0)</f>
        <v>0</v>
      </c>
      <c r="M372" s="7">
        <f>IF(Table1[[#This Row],[Required_Qty]]&lt;Table1[[#This Row],[Available_Qty]],Table1[[#This Row],[Available_Qty]]-Table1[[#This Row],[Required_Qty]],0)</f>
        <v>40</v>
      </c>
      <c r="N372">
        <v>64134</v>
      </c>
      <c r="O372" s="7">
        <f>IF(AND(Table1[[#This Row],[Clean_Shortage]]&gt;0,Table1[[#This Row],[Lead_Time_Days]]&gt;10),1,0)</f>
        <v>0</v>
      </c>
    </row>
    <row r="373" spans="1:15" hidden="1" x14ac:dyDescent="0.3">
      <c r="A373" t="s">
        <v>383</v>
      </c>
      <c r="B373" t="s">
        <v>513</v>
      </c>
      <c r="C373" t="s">
        <v>517</v>
      </c>
      <c r="D373">
        <v>80</v>
      </c>
      <c r="E373">
        <v>41</v>
      </c>
      <c r="F373">
        <v>59</v>
      </c>
      <c r="G373">
        <v>4292</v>
      </c>
      <c r="H373">
        <v>8</v>
      </c>
      <c r="I373" s="1">
        <v>45298</v>
      </c>
      <c r="J373" s="7">
        <f>Table1[[#This Row],[Required_Qty]]-Table1[[#This Row],[Available_Qty]]</f>
        <v>39</v>
      </c>
      <c r="K373" s="7">
        <v>-39</v>
      </c>
      <c r="L373" s="7">
        <f>IF(Table1[[#This Row],[Required_Qty]]&gt;Table1[[#This Row],[Available_Qty]],Table1[[#This Row],[Required_Qty]]-Table1[[#This Row],[Available_Qty]],0)</f>
        <v>39</v>
      </c>
      <c r="M373" s="7">
        <f>IF(Table1[[#This Row],[Required_Qty]]&lt;Table1[[#This Row],[Available_Qty]],Table1[[#This Row],[Available_Qty]]-Table1[[#This Row],[Required_Qty]],0)</f>
        <v>0</v>
      </c>
      <c r="N373">
        <v>253228</v>
      </c>
      <c r="O373" s="7">
        <f>IF(AND(Table1[[#This Row],[Clean_Shortage]]&gt;0,Table1[[#This Row],[Lead_Time_Days]]&gt;10),1,0)</f>
        <v>0</v>
      </c>
    </row>
    <row r="374" spans="1:15" hidden="1" x14ac:dyDescent="0.3">
      <c r="A374" t="s">
        <v>384</v>
      </c>
      <c r="B374" t="s">
        <v>515</v>
      </c>
      <c r="C374" t="s">
        <v>517</v>
      </c>
      <c r="D374">
        <v>61</v>
      </c>
      <c r="E374">
        <v>64</v>
      </c>
      <c r="F374">
        <v>32</v>
      </c>
      <c r="G374">
        <v>4586</v>
      </c>
      <c r="H374">
        <v>5</v>
      </c>
      <c r="I374" s="1">
        <v>45299</v>
      </c>
      <c r="J374" s="7">
        <f>Table1[[#This Row],[Required_Qty]]-Table1[[#This Row],[Available_Qty]]</f>
        <v>-3</v>
      </c>
      <c r="K374" s="7">
        <v>3</v>
      </c>
      <c r="L374" s="7">
        <f>IF(Table1[[#This Row],[Required_Qty]]&gt;Table1[[#This Row],[Available_Qty]],Table1[[#This Row],[Required_Qty]]-Table1[[#This Row],[Available_Qty]],0)</f>
        <v>0</v>
      </c>
      <c r="M374" s="7">
        <f>IF(Table1[[#This Row],[Required_Qty]]&lt;Table1[[#This Row],[Available_Qty]],Table1[[#This Row],[Available_Qty]]-Table1[[#This Row],[Required_Qty]],0)</f>
        <v>3</v>
      </c>
      <c r="N374">
        <v>146752</v>
      </c>
      <c r="O374" s="7">
        <f>IF(AND(Table1[[#This Row],[Clean_Shortage]]&gt;0,Table1[[#This Row],[Lead_Time_Days]]&gt;10),1,0)</f>
        <v>0</v>
      </c>
    </row>
    <row r="375" spans="1:15" hidden="1" x14ac:dyDescent="0.3">
      <c r="A375" t="s">
        <v>385</v>
      </c>
      <c r="B375" t="s">
        <v>513</v>
      </c>
      <c r="C375" t="s">
        <v>517</v>
      </c>
      <c r="D375">
        <v>79</v>
      </c>
      <c r="E375">
        <v>52</v>
      </c>
      <c r="F375">
        <v>48</v>
      </c>
      <c r="G375">
        <v>5431</v>
      </c>
      <c r="H375">
        <v>3</v>
      </c>
      <c r="I375" s="1">
        <v>45300</v>
      </c>
      <c r="J375" s="7">
        <f>Table1[[#This Row],[Required_Qty]]-Table1[[#This Row],[Available_Qty]]</f>
        <v>27</v>
      </c>
      <c r="K375" s="7">
        <v>-27</v>
      </c>
      <c r="L375" s="7">
        <f>IF(Table1[[#This Row],[Required_Qty]]&gt;Table1[[#This Row],[Available_Qty]],Table1[[#This Row],[Required_Qty]]-Table1[[#This Row],[Available_Qty]],0)</f>
        <v>27</v>
      </c>
      <c r="M375" s="7">
        <f>IF(Table1[[#This Row],[Required_Qty]]&lt;Table1[[#This Row],[Available_Qty]],Table1[[#This Row],[Available_Qty]]-Table1[[#This Row],[Required_Qty]],0)</f>
        <v>0</v>
      </c>
      <c r="N375">
        <v>260688</v>
      </c>
      <c r="O375" s="7">
        <f>IF(AND(Table1[[#This Row],[Clean_Shortage]]&gt;0,Table1[[#This Row],[Lead_Time_Days]]&gt;10),1,0)</f>
        <v>0</v>
      </c>
    </row>
    <row r="376" spans="1:15" hidden="1" x14ac:dyDescent="0.3">
      <c r="A376" t="s">
        <v>386</v>
      </c>
      <c r="B376" t="s">
        <v>514</v>
      </c>
      <c r="C376" t="s">
        <v>517</v>
      </c>
      <c r="D376">
        <v>97</v>
      </c>
      <c r="E376">
        <v>81</v>
      </c>
      <c r="F376">
        <v>34</v>
      </c>
      <c r="G376">
        <v>7841</v>
      </c>
      <c r="H376">
        <v>6</v>
      </c>
      <c r="I376" s="1">
        <v>45301</v>
      </c>
      <c r="J376" s="7">
        <f>Table1[[#This Row],[Required_Qty]]-Table1[[#This Row],[Available_Qty]]</f>
        <v>16</v>
      </c>
      <c r="K376" s="7">
        <v>-16</v>
      </c>
      <c r="L376" s="7">
        <f>IF(Table1[[#This Row],[Required_Qty]]&gt;Table1[[#This Row],[Available_Qty]],Table1[[#This Row],[Required_Qty]]-Table1[[#This Row],[Available_Qty]],0)</f>
        <v>16</v>
      </c>
      <c r="M376" s="7">
        <f>IF(Table1[[#This Row],[Required_Qty]]&lt;Table1[[#This Row],[Available_Qty]],Table1[[#This Row],[Available_Qty]]-Table1[[#This Row],[Required_Qty]],0)</f>
        <v>0</v>
      </c>
      <c r="N376">
        <v>266594</v>
      </c>
      <c r="O376" s="7">
        <f>IF(AND(Table1[[#This Row],[Clean_Shortage]]&gt;0,Table1[[#This Row],[Lead_Time_Days]]&gt;10),1,0)</f>
        <v>0</v>
      </c>
    </row>
    <row r="377" spans="1:15" hidden="1" x14ac:dyDescent="0.3">
      <c r="A377" t="s">
        <v>387</v>
      </c>
      <c r="B377" t="s">
        <v>513</v>
      </c>
      <c r="C377" t="s">
        <v>517</v>
      </c>
      <c r="D377">
        <v>42</v>
      </c>
      <c r="E377">
        <v>32</v>
      </c>
      <c r="F377">
        <v>43</v>
      </c>
      <c r="G377">
        <v>7643</v>
      </c>
      <c r="H377">
        <v>4</v>
      </c>
      <c r="I377" s="1">
        <v>45302</v>
      </c>
      <c r="J377" s="7">
        <f>Table1[[#This Row],[Required_Qty]]-Table1[[#This Row],[Available_Qty]]</f>
        <v>10</v>
      </c>
      <c r="K377" s="7">
        <v>-10</v>
      </c>
      <c r="L377" s="7">
        <f>IF(Table1[[#This Row],[Required_Qty]]&gt;Table1[[#This Row],[Available_Qty]],Table1[[#This Row],[Required_Qty]]-Table1[[#This Row],[Available_Qty]],0)</f>
        <v>10</v>
      </c>
      <c r="M377" s="7">
        <f>IF(Table1[[#This Row],[Required_Qty]]&lt;Table1[[#This Row],[Available_Qty]],Table1[[#This Row],[Available_Qty]]-Table1[[#This Row],[Required_Qty]],0)</f>
        <v>0</v>
      </c>
      <c r="N377">
        <v>328649</v>
      </c>
      <c r="O377" s="7">
        <f>IF(AND(Table1[[#This Row],[Clean_Shortage]]&gt;0,Table1[[#This Row],[Lead_Time_Days]]&gt;10),1,0)</f>
        <v>0</v>
      </c>
    </row>
    <row r="378" spans="1:15" hidden="1" x14ac:dyDescent="0.3">
      <c r="A378" t="s">
        <v>388</v>
      </c>
      <c r="B378" t="s">
        <v>513</v>
      </c>
      <c r="C378" t="s">
        <v>517</v>
      </c>
      <c r="D378">
        <v>58</v>
      </c>
      <c r="E378">
        <v>73</v>
      </c>
      <c r="F378">
        <v>10</v>
      </c>
      <c r="G378">
        <v>4959</v>
      </c>
      <c r="H378">
        <v>9</v>
      </c>
      <c r="I378" s="1">
        <v>45303</v>
      </c>
      <c r="J378" s="7">
        <f>Table1[[#This Row],[Required_Qty]]-Table1[[#This Row],[Available_Qty]]</f>
        <v>-15</v>
      </c>
      <c r="K378" s="7">
        <v>15</v>
      </c>
      <c r="L378" s="7">
        <f>IF(Table1[[#This Row],[Required_Qty]]&gt;Table1[[#This Row],[Available_Qty]],Table1[[#This Row],[Required_Qty]]-Table1[[#This Row],[Available_Qty]],0)</f>
        <v>0</v>
      </c>
      <c r="M378" s="7">
        <f>IF(Table1[[#This Row],[Required_Qty]]&lt;Table1[[#This Row],[Available_Qty]],Table1[[#This Row],[Available_Qty]]-Table1[[#This Row],[Required_Qty]],0)</f>
        <v>15</v>
      </c>
      <c r="N378">
        <v>49590</v>
      </c>
      <c r="O378" s="7">
        <f>IF(AND(Table1[[#This Row],[Clean_Shortage]]&gt;0,Table1[[#This Row],[Lead_Time_Days]]&gt;10),1,0)</f>
        <v>0</v>
      </c>
    </row>
    <row r="379" spans="1:15" hidden="1" x14ac:dyDescent="0.3">
      <c r="A379" t="s">
        <v>389</v>
      </c>
      <c r="B379" t="s">
        <v>514</v>
      </c>
      <c r="C379" t="s">
        <v>518</v>
      </c>
      <c r="D379">
        <v>38</v>
      </c>
      <c r="E379">
        <v>81</v>
      </c>
      <c r="F379">
        <v>71</v>
      </c>
      <c r="G379">
        <v>1161</v>
      </c>
      <c r="H379">
        <v>13</v>
      </c>
      <c r="I379" s="1">
        <v>45304</v>
      </c>
      <c r="J379" s="7">
        <f>Table1[[#This Row],[Required_Qty]]-Table1[[#This Row],[Available_Qty]]</f>
        <v>-43</v>
      </c>
      <c r="K379" s="7">
        <v>43</v>
      </c>
      <c r="L379" s="7">
        <f>IF(Table1[[#This Row],[Required_Qty]]&gt;Table1[[#This Row],[Available_Qty]],Table1[[#This Row],[Required_Qty]]-Table1[[#This Row],[Available_Qty]],0)</f>
        <v>0</v>
      </c>
      <c r="M379" s="7">
        <f>IF(Table1[[#This Row],[Required_Qty]]&lt;Table1[[#This Row],[Available_Qty]],Table1[[#This Row],[Available_Qty]]-Table1[[#This Row],[Required_Qty]],0)</f>
        <v>43</v>
      </c>
      <c r="N379">
        <v>82431</v>
      </c>
      <c r="O379" s="7">
        <f>IF(AND(Table1[[#This Row],[Clean_Shortage]]&gt;0,Table1[[#This Row],[Lead_Time_Days]]&gt;10),1,0)</f>
        <v>0</v>
      </c>
    </row>
    <row r="380" spans="1:15" hidden="1" x14ac:dyDescent="0.3">
      <c r="A380" t="s">
        <v>390</v>
      </c>
      <c r="B380" t="s">
        <v>515</v>
      </c>
      <c r="C380" t="s">
        <v>516</v>
      </c>
      <c r="D380">
        <v>72</v>
      </c>
      <c r="E380">
        <v>85</v>
      </c>
      <c r="F380">
        <v>77</v>
      </c>
      <c r="G380">
        <v>1593</v>
      </c>
      <c r="H380">
        <v>3</v>
      </c>
      <c r="I380" s="1">
        <v>45305</v>
      </c>
      <c r="J380" s="7">
        <f>Table1[[#This Row],[Required_Qty]]-Table1[[#This Row],[Available_Qty]]</f>
        <v>-13</v>
      </c>
      <c r="K380" s="7">
        <v>13</v>
      </c>
      <c r="L380" s="7">
        <f>IF(Table1[[#This Row],[Required_Qty]]&gt;Table1[[#This Row],[Available_Qty]],Table1[[#This Row],[Required_Qty]]-Table1[[#This Row],[Available_Qty]],0)</f>
        <v>0</v>
      </c>
      <c r="M380" s="7">
        <f>IF(Table1[[#This Row],[Required_Qty]]&lt;Table1[[#This Row],[Available_Qty]],Table1[[#This Row],[Available_Qty]]-Table1[[#This Row],[Required_Qty]],0)</f>
        <v>13</v>
      </c>
      <c r="N380">
        <v>122661</v>
      </c>
      <c r="O380" s="7">
        <f>IF(AND(Table1[[#This Row],[Clean_Shortage]]&gt;0,Table1[[#This Row],[Lead_Time_Days]]&gt;10),1,0)</f>
        <v>0</v>
      </c>
    </row>
    <row r="381" spans="1:15" hidden="1" x14ac:dyDescent="0.3">
      <c r="A381" t="s">
        <v>391</v>
      </c>
      <c r="B381" t="s">
        <v>514</v>
      </c>
      <c r="C381" t="s">
        <v>517</v>
      </c>
      <c r="D381">
        <v>31</v>
      </c>
      <c r="E381">
        <v>118</v>
      </c>
      <c r="F381">
        <v>73</v>
      </c>
      <c r="G381">
        <v>4390</v>
      </c>
      <c r="H381">
        <v>4</v>
      </c>
      <c r="I381" s="1">
        <v>45306</v>
      </c>
      <c r="J381" s="7">
        <f>Table1[[#This Row],[Required_Qty]]-Table1[[#This Row],[Available_Qty]]</f>
        <v>-87</v>
      </c>
      <c r="K381" s="7">
        <v>87</v>
      </c>
      <c r="L381" s="7">
        <f>IF(Table1[[#This Row],[Required_Qty]]&gt;Table1[[#This Row],[Available_Qty]],Table1[[#This Row],[Required_Qty]]-Table1[[#This Row],[Available_Qty]],0)</f>
        <v>0</v>
      </c>
      <c r="M381" s="7">
        <f>IF(Table1[[#This Row],[Required_Qty]]&lt;Table1[[#This Row],[Available_Qty]],Table1[[#This Row],[Available_Qty]]-Table1[[#This Row],[Required_Qty]],0)</f>
        <v>87</v>
      </c>
      <c r="N381">
        <v>320470</v>
      </c>
      <c r="O381" s="7">
        <f>IF(AND(Table1[[#This Row],[Clean_Shortage]]&gt;0,Table1[[#This Row],[Lead_Time_Days]]&gt;10),1,0)</f>
        <v>0</v>
      </c>
    </row>
    <row r="382" spans="1:15" hidden="1" x14ac:dyDescent="0.3">
      <c r="A382" t="s">
        <v>392</v>
      </c>
      <c r="B382" t="s">
        <v>513</v>
      </c>
      <c r="C382" t="s">
        <v>518</v>
      </c>
      <c r="D382">
        <v>35</v>
      </c>
      <c r="E382">
        <v>44</v>
      </c>
      <c r="F382">
        <v>65</v>
      </c>
      <c r="G382">
        <v>6997</v>
      </c>
      <c r="H382">
        <v>7</v>
      </c>
      <c r="I382" s="1">
        <v>45307</v>
      </c>
      <c r="J382" s="7">
        <f>Table1[[#This Row],[Required_Qty]]-Table1[[#This Row],[Available_Qty]]</f>
        <v>-9</v>
      </c>
      <c r="K382" s="7">
        <v>9</v>
      </c>
      <c r="L382" s="7">
        <f>IF(Table1[[#This Row],[Required_Qty]]&gt;Table1[[#This Row],[Available_Qty]],Table1[[#This Row],[Required_Qty]]-Table1[[#This Row],[Available_Qty]],0)</f>
        <v>0</v>
      </c>
      <c r="M382" s="7">
        <f>IF(Table1[[#This Row],[Required_Qty]]&lt;Table1[[#This Row],[Available_Qty]],Table1[[#This Row],[Available_Qty]]-Table1[[#This Row],[Required_Qty]],0)</f>
        <v>9</v>
      </c>
      <c r="N382">
        <v>454805</v>
      </c>
      <c r="O382" s="7">
        <f>IF(AND(Table1[[#This Row],[Clean_Shortage]]&gt;0,Table1[[#This Row],[Lead_Time_Days]]&gt;10),1,0)</f>
        <v>0</v>
      </c>
    </row>
    <row r="383" spans="1:15" hidden="1" x14ac:dyDescent="0.3">
      <c r="A383" t="s">
        <v>393</v>
      </c>
      <c r="B383" t="s">
        <v>515</v>
      </c>
      <c r="C383" t="s">
        <v>518</v>
      </c>
      <c r="D383">
        <v>37</v>
      </c>
      <c r="E383">
        <v>49</v>
      </c>
      <c r="F383">
        <v>45</v>
      </c>
      <c r="G383">
        <v>7354</v>
      </c>
      <c r="H383">
        <v>7</v>
      </c>
      <c r="I383" s="1">
        <v>45308</v>
      </c>
      <c r="J383" s="7">
        <f>Table1[[#This Row],[Required_Qty]]-Table1[[#This Row],[Available_Qty]]</f>
        <v>-12</v>
      </c>
      <c r="K383" s="7">
        <v>12</v>
      </c>
      <c r="L383" s="7">
        <f>IF(Table1[[#This Row],[Required_Qty]]&gt;Table1[[#This Row],[Available_Qty]],Table1[[#This Row],[Required_Qty]]-Table1[[#This Row],[Available_Qty]],0)</f>
        <v>0</v>
      </c>
      <c r="M383" s="7">
        <f>IF(Table1[[#This Row],[Required_Qty]]&lt;Table1[[#This Row],[Available_Qty]],Table1[[#This Row],[Available_Qty]]-Table1[[#This Row],[Required_Qty]],0)</f>
        <v>12</v>
      </c>
      <c r="N383">
        <v>330930</v>
      </c>
      <c r="O383" s="7">
        <f>IF(AND(Table1[[#This Row],[Clean_Shortage]]&gt;0,Table1[[#This Row],[Lead_Time_Days]]&gt;10),1,0)</f>
        <v>0</v>
      </c>
    </row>
    <row r="384" spans="1:15" hidden="1" x14ac:dyDescent="0.3">
      <c r="A384" t="s">
        <v>394</v>
      </c>
      <c r="B384" t="s">
        <v>513</v>
      </c>
      <c r="C384" t="s">
        <v>516</v>
      </c>
      <c r="D384">
        <v>94</v>
      </c>
      <c r="E384">
        <v>100</v>
      </c>
      <c r="F384">
        <v>8</v>
      </c>
      <c r="G384">
        <v>1663</v>
      </c>
      <c r="H384">
        <v>12</v>
      </c>
      <c r="I384" s="1">
        <v>45309</v>
      </c>
      <c r="J384" s="7">
        <f>Table1[[#This Row],[Required_Qty]]-Table1[[#This Row],[Available_Qty]]</f>
        <v>-6</v>
      </c>
      <c r="K384" s="7">
        <v>6</v>
      </c>
      <c r="L384" s="7">
        <f>IF(Table1[[#This Row],[Required_Qty]]&gt;Table1[[#This Row],[Available_Qty]],Table1[[#This Row],[Required_Qty]]-Table1[[#This Row],[Available_Qty]],0)</f>
        <v>0</v>
      </c>
      <c r="M384" s="7">
        <f>IF(Table1[[#This Row],[Required_Qty]]&lt;Table1[[#This Row],[Available_Qty]],Table1[[#This Row],[Available_Qty]]-Table1[[#This Row],[Required_Qty]],0)</f>
        <v>6</v>
      </c>
      <c r="N384">
        <v>13304</v>
      </c>
      <c r="O384" s="7">
        <f>IF(AND(Table1[[#This Row],[Clean_Shortage]]&gt;0,Table1[[#This Row],[Lead_Time_Days]]&gt;10),1,0)</f>
        <v>0</v>
      </c>
    </row>
    <row r="385" spans="1:15" hidden="1" x14ac:dyDescent="0.3">
      <c r="A385" t="s">
        <v>395</v>
      </c>
      <c r="B385" t="s">
        <v>514</v>
      </c>
      <c r="C385" t="s">
        <v>517</v>
      </c>
      <c r="D385">
        <v>58</v>
      </c>
      <c r="E385">
        <v>66</v>
      </c>
      <c r="F385">
        <v>2</v>
      </c>
      <c r="G385">
        <v>1541</v>
      </c>
      <c r="H385">
        <v>12</v>
      </c>
      <c r="I385" s="1">
        <v>45310</v>
      </c>
      <c r="J385" s="7">
        <f>Table1[[#This Row],[Required_Qty]]-Table1[[#This Row],[Available_Qty]]</f>
        <v>-8</v>
      </c>
      <c r="K385" s="7">
        <v>8</v>
      </c>
      <c r="L385" s="7">
        <f>IF(Table1[[#This Row],[Required_Qty]]&gt;Table1[[#This Row],[Available_Qty]],Table1[[#This Row],[Required_Qty]]-Table1[[#This Row],[Available_Qty]],0)</f>
        <v>0</v>
      </c>
      <c r="M385" s="7">
        <f>IF(Table1[[#This Row],[Required_Qty]]&lt;Table1[[#This Row],[Available_Qty]],Table1[[#This Row],[Available_Qty]]-Table1[[#This Row],[Required_Qty]],0)</f>
        <v>8</v>
      </c>
      <c r="N385">
        <v>3082</v>
      </c>
      <c r="O385" s="7">
        <f>IF(AND(Table1[[#This Row],[Clean_Shortage]]&gt;0,Table1[[#This Row],[Lead_Time_Days]]&gt;10),1,0)</f>
        <v>0</v>
      </c>
    </row>
    <row r="386" spans="1:15" hidden="1" x14ac:dyDescent="0.3">
      <c r="A386" t="s">
        <v>396</v>
      </c>
      <c r="B386" t="s">
        <v>514</v>
      </c>
      <c r="C386" t="s">
        <v>516</v>
      </c>
      <c r="D386">
        <v>80</v>
      </c>
      <c r="E386">
        <v>97</v>
      </c>
      <c r="F386">
        <v>25</v>
      </c>
      <c r="G386">
        <v>6433</v>
      </c>
      <c r="H386">
        <v>4</v>
      </c>
      <c r="I386" s="1">
        <v>45311</v>
      </c>
      <c r="J386" s="7">
        <f>Table1[[#This Row],[Required_Qty]]-Table1[[#This Row],[Available_Qty]]</f>
        <v>-17</v>
      </c>
      <c r="K386" s="7">
        <v>17</v>
      </c>
      <c r="L386" s="7">
        <f>IF(Table1[[#This Row],[Required_Qty]]&gt;Table1[[#This Row],[Available_Qty]],Table1[[#This Row],[Required_Qty]]-Table1[[#This Row],[Available_Qty]],0)</f>
        <v>0</v>
      </c>
      <c r="M386" s="7">
        <f>IF(Table1[[#This Row],[Required_Qty]]&lt;Table1[[#This Row],[Available_Qty]],Table1[[#This Row],[Available_Qty]]-Table1[[#This Row],[Required_Qty]],0)</f>
        <v>17</v>
      </c>
      <c r="N386">
        <v>160825</v>
      </c>
      <c r="O386" s="7">
        <f>IF(AND(Table1[[#This Row],[Clean_Shortage]]&gt;0,Table1[[#This Row],[Lead_Time_Days]]&gt;10),1,0)</f>
        <v>0</v>
      </c>
    </row>
    <row r="387" spans="1:15" hidden="1" x14ac:dyDescent="0.3">
      <c r="A387" t="s">
        <v>397</v>
      </c>
      <c r="B387" t="s">
        <v>513</v>
      </c>
      <c r="C387" t="s">
        <v>517</v>
      </c>
      <c r="D387">
        <v>90</v>
      </c>
      <c r="E387">
        <v>119</v>
      </c>
      <c r="F387">
        <v>71</v>
      </c>
      <c r="G387">
        <v>6093</v>
      </c>
      <c r="H387">
        <v>6</v>
      </c>
      <c r="I387" s="1">
        <v>45312</v>
      </c>
      <c r="J387" s="7">
        <f>Table1[[#This Row],[Required_Qty]]-Table1[[#This Row],[Available_Qty]]</f>
        <v>-29</v>
      </c>
      <c r="K387" s="7">
        <v>29</v>
      </c>
      <c r="L387" s="7">
        <f>IF(Table1[[#This Row],[Required_Qty]]&gt;Table1[[#This Row],[Available_Qty]],Table1[[#This Row],[Required_Qty]]-Table1[[#This Row],[Available_Qty]],0)</f>
        <v>0</v>
      </c>
      <c r="M387" s="7">
        <f>IF(Table1[[#This Row],[Required_Qty]]&lt;Table1[[#This Row],[Available_Qty]],Table1[[#This Row],[Available_Qty]]-Table1[[#This Row],[Required_Qty]],0)</f>
        <v>29</v>
      </c>
      <c r="N387">
        <v>432603</v>
      </c>
      <c r="O387" s="7">
        <f>IF(AND(Table1[[#This Row],[Clean_Shortage]]&gt;0,Table1[[#This Row],[Lead_Time_Days]]&gt;10),1,0)</f>
        <v>0</v>
      </c>
    </row>
    <row r="388" spans="1:15" x14ac:dyDescent="0.3">
      <c r="A388" t="s">
        <v>398</v>
      </c>
      <c r="B388" t="s">
        <v>512</v>
      </c>
      <c r="C388" t="s">
        <v>518</v>
      </c>
      <c r="D388">
        <v>93</v>
      </c>
      <c r="E388">
        <v>62</v>
      </c>
      <c r="F388">
        <v>47</v>
      </c>
      <c r="G388">
        <v>1867</v>
      </c>
      <c r="H388">
        <v>12</v>
      </c>
      <c r="I388" s="1">
        <v>45313</v>
      </c>
      <c r="J388" s="7">
        <f>Table1[[#This Row],[Required_Qty]]-Table1[[#This Row],[Available_Qty]]</f>
        <v>31</v>
      </c>
      <c r="K388" s="7">
        <v>-31</v>
      </c>
      <c r="L388" s="7">
        <f>IF(Table1[[#This Row],[Required_Qty]]&gt;Table1[[#This Row],[Available_Qty]],Table1[[#This Row],[Required_Qty]]-Table1[[#This Row],[Available_Qty]],0)</f>
        <v>31</v>
      </c>
      <c r="M388" s="7">
        <f>IF(Table1[[#This Row],[Required_Qty]]&lt;Table1[[#This Row],[Available_Qty]],Table1[[#This Row],[Available_Qty]]-Table1[[#This Row],[Required_Qty]],0)</f>
        <v>0</v>
      </c>
      <c r="N388">
        <v>87749</v>
      </c>
      <c r="O388" s="7">
        <f>IF(AND(Table1[[#This Row],[Clean_Shortage]]&gt;0,Table1[[#This Row],[Lead_Time_Days]]&gt;10),1,0)</f>
        <v>1</v>
      </c>
    </row>
    <row r="389" spans="1:15" hidden="1" x14ac:dyDescent="0.3">
      <c r="A389" t="s">
        <v>399</v>
      </c>
      <c r="B389" t="s">
        <v>512</v>
      </c>
      <c r="C389" t="s">
        <v>518</v>
      </c>
      <c r="D389">
        <v>58</v>
      </c>
      <c r="E389">
        <v>71</v>
      </c>
      <c r="F389">
        <v>65</v>
      </c>
      <c r="G389">
        <v>9623</v>
      </c>
      <c r="H389">
        <v>13</v>
      </c>
      <c r="I389" s="1">
        <v>45314</v>
      </c>
      <c r="J389" s="7">
        <f>Table1[[#This Row],[Required_Qty]]-Table1[[#This Row],[Available_Qty]]</f>
        <v>-13</v>
      </c>
      <c r="K389" s="7">
        <v>13</v>
      </c>
      <c r="L389" s="7">
        <f>IF(Table1[[#This Row],[Required_Qty]]&gt;Table1[[#This Row],[Available_Qty]],Table1[[#This Row],[Required_Qty]]-Table1[[#This Row],[Available_Qty]],0)</f>
        <v>0</v>
      </c>
      <c r="M389" s="7">
        <f>IF(Table1[[#This Row],[Required_Qty]]&lt;Table1[[#This Row],[Available_Qty]],Table1[[#This Row],[Available_Qty]]-Table1[[#This Row],[Required_Qty]],0)</f>
        <v>13</v>
      </c>
      <c r="N389">
        <v>625495</v>
      </c>
      <c r="O389" s="7">
        <f>IF(AND(Table1[[#This Row],[Clean_Shortage]]&gt;0,Table1[[#This Row],[Lead_Time_Days]]&gt;10),1,0)</f>
        <v>0</v>
      </c>
    </row>
    <row r="390" spans="1:15" hidden="1" x14ac:dyDescent="0.3">
      <c r="A390" t="s">
        <v>400</v>
      </c>
      <c r="B390" t="s">
        <v>514</v>
      </c>
      <c r="C390" t="s">
        <v>518</v>
      </c>
      <c r="D390">
        <v>29</v>
      </c>
      <c r="E390">
        <v>60</v>
      </c>
      <c r="F390">
        <v>69</v>
      </c>
      <c r="G390">
        <v>6469</v>
      </c>
      <c r="H390">
        <v>3</v>
      </c>
      <c r="I390" s="1">
        <v>45315</v>
      </c>
      <c r="J390" s="7">
        <f>Table1[[#This Row],[Required_Qty]]-Table1[[#This Row],[Available_Qty]]</f>
        <v>-31</v>
      </c>
      <c r="K390" s="7">
        <v>31</v>
      </c>
      <c r="L390" s="7">
        <f>IF(Table1[[#This Row],[Required_Qty]]&gt;Table1[[#This Row],[Available_Qty]],Table1[[#This Row],[Required_Qty]]-Table1[[#This Row],[Available_Qty]],0)</f>
        <v>0</v>
      </c>
      <c r="M390" s="7">
        <f>IF(Table1[[#This Row],[Required_Qty]]&lt;Table1[[#This Row],[Available_Qty]],Table1[[#This Row],[Available_Qty]]-Table1[[#This Row],[Required_Qty]],0)</f>
        <v>31</v>
      </c>
      <c r="N390">
        <v>446361</v>
      </c>
      <c r="O390" s="7">
        <f>IF(AND(Table1[[#This Row],[Clean_Shortage]]&gt;0,Table1[[#This Row],[Lead_Time_Days]]&gt;10),1,0)</f>
        <v>0</v>
      </c>
    </row>
    <row r="391" spans="1:15" hidden="1" x14ac:dyDescent="0.3">
      <c r="A391" t="s">
        <v>401</v>
      </c>
      <c r="B391" t="s">
        <v>514</v>
      </c>
      <c r="C391" t="s">
        <v>518</v>
      </c>
      <c r="D391">
        <v>95</v>
      </c>
      <c r="E391">
        <v>44</v>
      </c>
      <c r="F391">
        <v>27</v>
      </c>
      <c r="G391">
        <v>7256</v>
      </c>
      <c r="H391">
        <v>6</v>
      </c>
      <c r="I391" s="1">
        <v>45316</v>
      </c>
      <c r="J391" s="7">
        <f>Table1[[#This Row],[Required_Qty]]-Table1[[#This Row],[Available_Qty]]</f>
        <v>51</v>
      </c>
      <c r="K391" s="7">
        <v>-51</v>
      </c>
      <c r="L391" s="7">
        <f>IF(Table1[[#This Row],[Required_Qty]]&gt;Table1[[#This Row],[Available_Qty]],Table1[[#This Row],[Required_Qty]]-Table1[[#This Row],[Available_Qty]],0)</f>
        <v>51</v>
      </c>
      <c r="M391" s="7">
        <f>IF(Table1[[#This Row],[Required_Qty]]&lt;Table1[[#This Row],[Available_Qty]],Table1[[#This Row],[Available_Qty]]-Table1[[#This Row],[Required_Qty]],0)</f>
        <v>0</v>
      </c>
      <c r="N391">
        <v>195912</v>
      </c>
      <c r="O391" s="7">
        <f>IF(AND(Table1[[#This Row],[Clean_Shortage]]&gt;0,Table1[[#This Row],[Lead_Time_Days]]&gt;10),1,0)</f>
        <v>0</v>
      </c>
    </row>
    <row r="392" spans="1:15" hidden="1" x14ac:dyDescent="0.3">
      <c r="A392" t="s">
        <v>402</v>
      </c>
      <c r="B392" t="s">
        <v>512</v>
      </c>
      <c r="C392" t="s">
        <v>516</v>
      </c>
      <c r="D392">
        <v>72</v>
      </c>
      <c r="E392">
        <v>102</v>
      </c>
      <c r="F392">
        <v>25</v>
      </c>
      <c r="G392">
        <v>2169</v>
      </c>
      <c r="H392">
        <v>12</v>
      </c>
      <c r="I392" s="1">
        <v>45317</v>
      </c>
      <c r="J392" s="7">
        <f>Table1[[#This Row],[Required_Qty]]-Table1[[#This Row],[Available_Qty]]</f>
        <v>-30</v>
      </c>
      <c r="K392" s="7">
        <v>30</v>
      </c>
      <c r="L392" s="7">
        <f>IF(Table1[[#This Row],[Required_Qty]]&gt;Table1[[#This Row],[Available_Qty]],Table1[[#This Row],[Required_Qty]]-Table1[[#This Row],[Available_Qty]],0)</f>
        <v>0</v>
      </c>
      <c r="M392" s="7">
        <f>IF(Table1[[#This Row],[Required_Qty]]&lt;Table1[[#This Row],[Available_Qty]],Table1[[#This Row],[Available_Qty]]-Table1[[#This Row],[Required_Qty]],0)</f>
        <v>30</v>
      </c>
      <c r="N392">
        <v>54225</v>
      </c>
      <c r="O392" s="7">
        <f>IF(AND(Table1[[#This Row],[Clean_Shortage]]&gt;0,Table1[[#This Row],[Lead_Time_Days]]&gt;10),1,0)</f>
        <v>0</v>
      </c>
    </row>
    <row r="393" spans="1:15" hidden="1" x14ac:dyDescent="0.3">
      <c r="A393" t="s">
        <v>403</v>
      </c>
      <c r="B393" t="s">
        <v>512</v>
      </c>
      <c r="C393" t="s">
        <v>517</v>
      </c>
      <c r="D393">
        <v>70</v>
      </c>
      <c r="E393">
        <v>44</v>
      </c>
      <c r="F393">
        <v>24</v>
      </c>
      <c r="G393">
        <v>1830</v>
      </c>
      <c r="H393">
        <v>2</v>
      </c>
      <c r="I393" s="1">
        <v>45318</v>
      </c>
      <c r="J393" s="7">
        <f>Table1[[#This Row],[Required_Qty]]-Table1[[#This Row],[Available_Qty]]</f>
        <v>26</v>
      </c>
      <c r="K393" s="7">
        <v>-26</v>
      </c>
      <c r="L393" s="7">
        <f>IF(Table1[[#This Row],[Required_Qty]]&gt;Table1[[#This Row],[Available_Qty]],Table1[[#This Row],[Required_Qty]]-Table1[[#This Row],[Available_Qty]],0)</f>
        <v>26</v>
      </c>
      <c r="M393" s="7">
        <f>IF(Table1[[#This Row],[Required_Qty]]&lt;Table1[[#This Row],[Available_Qty]],Table1[[#This Row],[Available_Qty]]-Table1[[#This Row],[Required_Qty]],0)</f>
        <v>0</v>
      </c>
      <c r="N393">
        <v>43920</v>
      </c>
      <c r="O393" s="7">
        <f>IF(AND(Table1[[#This Row],[Clean_Shortage]]&gt;0,Table1[[#This Row],[Lead_Time_Days]]&gt;10),1,0)</f>
        <v>0</v>
      </c>
    </row>
    <row r="394" spans="1:15" hidden="1" x14ac:dyDescent="0.3">
      <c r="A394" t="s">
        <v>404</v>
      </c>
      <c r="B394" t="s">
        <v>513</v>
      </c>
      <c r="C394" t="s">
        <v>517</v>
      </c>
      <c r="D394">
        <v>58</v>
      </c>
      <c r="E394">
        <v>95</v>
      </c>
      <c r="F394">
        <v>11</v>
      </c>
      <c r="G394">
        <v>2651</v>
      </c>
      <c r="H394">
        <v>8</v>
      </c>
      <c r="I394" s="1">
        <v>45319</v>
      </c>
      <c r="J394" s="7">
        <f>Table1[[#This Row],[Required_Qty]]-Table1[[#This Row],[Available_Qty]]</f>
        <v>-37</v>
      </c>
      <c r="K394" s="7">
        <v>37</v>
      </c>
      <c r="L394" s="7">
        <f>IF(Table1[[#This Row],[Required_Qty]]&gt;Table1[[#This Row],[Available_Qty]],Table1[[#This Row],[Required_Qty]]-Table1[[#This Row],[Available_Qty]],0)</f>
        <v>0</v>
      </c>
      <c r="M394" s="7">
        <f>IF(Table1[[#This Row],[Required_Qty]]&lt;Table1[[#This Row],[Available_Qty]],Table1[[#This Row],[Available_Qty]]-Table1[[#This Row],[Required_Qty]],0)</f>
        <v>37</v>
      </c>
      <c r="N394">
        <v>29161</v>
      </c>
      <c r="O394" s="7">
        <f>IF(AND(Table1[[#This Row],[Clean_Shortage]]&gt;0,Table1[[#This Row],[Lead_Time_Days]]&gt;10),1,0)</f>
        <v>0</v>
      </c>
    </row>
    <row r="395" spans="1:15" hidden="1" x14ac:dyDescent="0.3">
      <c r="A395" t="s">
        <v>405</v>
      </c>
      <c r="B395" t="s">
        <v>513</v>
      </c>
      <c r="C395" t="s">
        <v>516</v>
      </c>
      <c r="D395">
        <v>80</v>
      </c>
      <c r="E395">
        <v>81</v>
      </c>
      <c r="F395">
        <v>4</v>
      </c>
      <c r="G395">
        <v>2136</v>
      </c>
      <c r="H395">
        <v>2</v>
      </c>
      <c r="I395" s="1">
        <v>45320</v>
      </c>
      <c r="J395" s="7">
        <f>Table1[[#This Row],[Required_Qty]]-Table1[[#This Row],[Available_Qty]]</f>
        <v>-1</v>
      </c>
      <c r="K395" s="7">
        <v>1</v>
      </c>
      <c r="L395" s="7">
        <f>IF(Table1[[#This Row],[Required_Qty]]&gt;Table1[[#This Row],[Available_Qty]],Table1[[#This Row],[Required_Qty]]-Table1[[#This Row],[Available_Qty]],0)</f>
        <v>0</v>
      </c>
      <c r="M395" s="7">
        <f>IF(Table1[[#This Row],[Required_Qty]]&lt;Table1[[#This Row],[Available_Qty]],Table1[[#This Row],[Available_Qty]]-Table1[[#This Row],[Required_Qty]],0)</f>
        <v>1</v>
      </c>
      <c r="N395">
        <v>8544</v>
      </c>
      <c r="O395" s="7">
        <f>IF(AND(Table1[[#This Row],[Clean_Shortage]]&gt;0,Table1[[#This Row],[Lead_Time_Days]]&gt;10),1,0)</f>
        <v>0</v>
      </c>
    </row>
    <row r="396" spans="1:15" hidden="1" x14ac:dyDescent="0.3">
      <c r="A396" t="s">
        <v>406</v>
      </c>
      <c r="B396" t="s">
        <v>512</v>
      </c>
      <c r="C396" t="s">
        <v>517</v>
      </c>
      <c r="D396">
        <v>10</v>
      </c>
      <c r="E396">
        <v>113</v>
      </c>
      <c r="F396">
        <v>47</v>
      </c>
      <c r="G396">
        <v>3810</v>
      </c>
      <c r="H396">
        <v>11</v>
      </c>
      <c r="I396" s="1">
        <v>45321</v>
      </c>
      <c r="J396" s="7">
        <f>Table1[[#This Row],[Required_Qty]]-Table1[[#This Row],[Available_Qty]]</f>
        <v>-103</v>
      </c>
      <c r="K396" s="7">
        <v>103</v>
      </c>
      <c r="L396" s="7">
        <f>IF(Table1[[#This Row],[Required_Qty]]&gt;Table1[[#This Row],[Available_Qty]],Table1[[#This Row],[Required_Qty]]-Table1[[#This Row],[Available_Qty]],0)</f>
        <v>0</v>
      </c>
      <c r="M396" s="7">
        <f>IF(Table1[[#This Row],[Required_Qty]]&lt;Table1[[#This Row],[Available_Qty]],Table1[[#This Row],[Available_Qty]]-Table1[[#This Row],[Required_Qty]],0)</f>
        <v>103</v>
      </c>
      <c r="N396">
        <v>179070</v>
      </c>
      <c r="O396" s="7">
        <f>IF(AND(Table1[[#This Row],[Clean_Shortage]]&gt;0,Table1[[#This Row],[Lead_Time_Days]]&gt;10),1,0)</f>
        <v>0</v>
      </c>
    </row>
    <row r="397" spans="1:15" hidden="1" x14ac:dyDescent="0.3">
      <c r="A397" t="s">
        <v>407</v>
      </c>
      <c r="B397" t="s">
        <v>513</v>
      </c>
      <c r="C397" t="s">
        <v>518</v>
      </c>
      <c r="D397">
        <v>22</v>
      </c>
      <c r="E397">
        <v>37</v>
      </c>
      <c r="F397">
        <v>36</v>
      </c>
      <c r="G397">
        <v>9667</v>
      </c>
      <c r="H397">
        <v>7</v>
      </c>
      <c r="I397" s="1">
        <v>45322</v>
      </c>
      <c r="J397" s="7">
        <f>Table1[[#This Row],[Required_Qty]]-Table1[[#This Row],[Available_Qty]]</f>
        <v>-15</v>
      </c>
      <c r="K397" s="7">
        <v>15</v>
      </c>
      <c r="L397" s="7">
        <f>IF(Table1[[#This Row],[Required_Qty]]&gt;Table1[[#This Row],[Available_Qty]],Table1[[#This Row],[Required_Qty]]-Table1[[#This Row],[Available_Qty]],0)</f>
        <v>0</v>
      </c>
      <c r="M397" s="7">
        <f>IF(Table1[[#This Row],[Required_Qty]]&lt;Table1[[#This Row],[Available_Qty]],Table1[[#This Row],[Available_Qty]]-Table1[[#This Row],[Required_Qty]],0)</f>
        <v>15</v>
      </c>
      <c r="N397">
        <v>348012</v>
      </c>
      <c r="O397" s="7">
        <f>IF(AND(Table1[[#This Row],[Clean_Shortage]]&gt;0,Table1[[#This Row],[Lead_Time_Days]]&gt;10),1,0)</f>
        <v>0</v>
      </c>
    </row>
    <row r="398" spans="1:15" hidden="1" x14ac:dyDescent="0.3">
      <c r="A398" t="s">
        <v>408</v>
      </c>
      <c r="B398" t="s">
        <v>513</v>
      </c>
      <c r="C398" t="s">
        <v>517</v>
      </c>
      <c r="D398">
        <v>96</v>
      </c>
      <c r="E398">
        <v>10</v>
      </c>
      <c r="F398">
        <v>78</v>
      </c>
      <c r="G398">
        <v>2019</v>
      </c>
      <c r="H398">
        <v>9</v>
      </c>
      <c r="I398" s="1">
        <v>45323</v>
      </c>
      <c r="J398" s="7">
        <f>Table1[[#This Row],[Required_Qty]]-Table1[[#This Row],[Available_Qty]]</f>
        <v>86</v>
      </c>
      <c r="K398" s="7">
        <v>-86</v>
      </c>
      <c r="L398" s="7">
        <f>IF(Table1[[#This Row],[Required_Qty]]&gt;Table1[[#This Row],[Available_Qty]],Table1[[#This Row],[Required_Qty]]-Table1[[#This Row],[Available_Qty]],0)</f>
        <v>86</v>
      </c>
      <c r="M398" s="7">
        <f>IF(Table1[[#This Row],[Required_Qty]]&lt;Table1[[#This Row],[Available_Qty]],Table1[[#This Row],[Available_Qty]]-Table1[[#This Row],[Required_Qty]],0)</f>
        <v>0</v>
      </c>
      <c r="N398">
        <v>157482</v>
      </c>
      <c r="O398" s="7">
        <f>IF(AND(Table1[[#This Row],[Clean_Shortage]]&gt;0,Table1[[#This Row],[Lead_Time_Days]]&gt;10),1,0)</f>
        <v>0</v>
      </c>
    </row>
    <row r="399" spans="1:15" hidden="1" x14ac:dyDescent="0.3">
      <c r="A399" t="s">
        <v>409</v>
      </c>
      <c r="B399" t="s">
        <v>515</v>
      </c>
      <c r="C399" t="s">
        <v>518</v>
      </c>
      <c r="D399">
        <v>60</v>
      </c>
      <c r="E399">
        <v>92</v>
      </c>
      <c r="F399">
        <v>43</v>
      </c>
      <c r="G399">
        <v>6237</v>
      </c>
      <c r="H399">
        <v>1</v>
      </c>
      <c r="I399" s="1">
        <v>45324</v>
      </c>
      <c r="J399" s="7">
        <f>Table1[[#This Row],[Required_Qty]]-Table1[[#This Row],[Available_Qty]]</f>
        <v>-32</v>
      </c>
      <c r="K399" s="7">
        <v>32</v>
      </c>
      <c r="L399" s="7">
        <f>IF(Table1[[#This Row],[Required_Qty]]&gt;Table1[[#This Row],[Available_Qty]],Table1[[#This Row],[Required_Qty]]-Table1[[#This Row],[Available_Qty]],0)</f>
        <v>0</v>
      </c>
      <c r="M399" s="7">
        <f>IF(Table1[[#This Row],[Required_Qty]]&lt;Table1[[#This Row],[Available_Qty]],Table1[[#This Row],[Available_Qty]]-Table1[[#This Row],[Required_Qty]],0)</f>
        <v>32</v>
      </c>
      <c r="N399">
        <v>268191</v>
      </c>
      <c r="O399" s="7">
        <f>IF(AND(Table1[[#This Row],[Clean_Shortage]]&gt;0,Table1[[#This Row],[Lead_Time_Days]]&gt;10),1,0)</f>
        <v>0</v>
      </c>
    </row>
    <row r="400" spans="1:15" hidden="1" x14ac:dyDescent="0.3">
      <c r="A400" t="s">
        <v>410</v>
      </c>
      <c r="B400" t="s">
        <v>513</v>
      </c>
      <c r="C400" t="s">
        <v>516</v>
      </c>
      <c r="D400">
        <v>65</v>
      </c>
      <c r="E400">
        <v>23</v>
      </c>
      <c r="F400">
        <v>14</v>
      </c>
      <c r="G400">
        <v>2283</v>
      </c>
      <c r="H400">
        <v>8</v>
      </c>
      <c r="I400" s="1">
        <v>45325</v>
      </c>
      <c r="J400" s="7">
        <f>Table1[[#This Row],[Required_Qty]]-Table1[[#This Row],[Available_Qty]]</f>
        <v>42</v>
      </c>
      <c r="K400" s="7">
        <v>-42</v>
      </c>
      <c r="L400" s="7">
        <f>IF(Table1[[#This Row],[Required_Qty]]&gt;Table1[[#This Row],[Available_Qty]],Table1[[#This Row],[Required_Qty]]-Table1[[#This Row],[Available_Qty]],0)</f>
        <v>42</v>
      </c>
      <c r="M400" s="7">
        <f>IF(Table1[[#This Row],[Required_Qty]]&lt;Table1[[#This Row],[Available_Qty]],Table1[[#This Row],[Available_Qty]]-Table1[[#This Row],[Required_Qty]],0)</f>
        <v>0</v>
      </c>
      <c r="N400">
        <v>31962</v>
      </c>
      <c r="O400" s="7">
        <f>IF(AND(Table1[[#This Row],[Clean_Shortage]]&gt;0,Table1[[#This Row],[Lead_Time_Days]]&gt;10),1,0)</f>
        <v>0</v>
      </c>
    </row>
    <row r="401" spans="1:15" hidden="1" x14ac:dyDescent="0.3">
      <c r="A401" t="s">
        <v>411</v>
      </c>
      <c r="B401" t="s">
        <v>514</v>
      </c>
      <c r="C401" t="s">
        <v>517</v>
      </c>
      <c r="D401">
        <v>92</v>
      </c>
      <c r="E401">
        <v>84</v>
      </c>
      <c r="F401">
        <v>42</v>
      </c>
      <c r="G401">
        <v>1659</v>
      </c>
      <c r="H401">
        <v>7</v>
      </c>
      <c r="I401" s="1">
        <v>45326</v>
      </c>
      <c r="J401" s="7">
        <f>Table1[[#This Row],[Required_Qty]]-Table1[[#This Row],[Available_Qty]]</f>
        <v>8</v>
      </c>
      <c r="K401" s="7">
        <v>-8</v>
      </c>
      <c r="L401" s="7">
        <f>IF(Table1[[#This Row],[Required_Qty]]&gt;Table1[[#This Row],[Available_Qty]],Table1[[#This Row],[Required_Qty]]-Table1[[#This Row],[Available_Qty]],0)</f>
        <v>8</v>
      </c>
      <c r="M401" s="7">
        <f>IF(Table1[[#This Row],[Required_Qty]]&lt;Table1[[#This Row],[Available_Qty]],Table1[[#This Row],[Available_Qty]]-Table1[[#This Row],[Required_Qty]],0)</f>
        <v>0</v>
      </c>
      <c r="N401">
        <v>69678</v>
      </c>
      <c r="O401" s="7">
        <f>IF(AND(Table1[[#This Row],[Clean_Shortage]]&gt;0,Table1[[#This Row],[Lead_Time_Days]]&gt;10),1,0)</f>
        <v>0</v>
      </c>
    </row>
    <row r="402" spans="1:15" hidden="1" x14ac:dyDescent="0.3">
      <c r="A402" t="s">
        <v>412</v>
      </c>
      <c r="B402" t="s">
        <v>513</v>
      </c>
      <c r="C402" t="s">
        <v>516</v>
      </c>
      <c r="D402">
        <v>71</v>
      </c>
      <c r="E402">
        <v>44</v>
      </c>
      <c r="F402">
        <v>47</v>
      </c>
      <c r="G402">
        <v>3010</v>
      </c>
      <c r="H402">
        <v>6</v>
      </c>
      <c r="I402" s="1">
        <v>45327</v>
      </c>
      <c r="J402" s="7">
        <f>Table1[[#This Row],[Required_Qty]]-Table1[[#This Row],[Available_Qty]]</f>
        <v>27</v>
      </c>
      <c r="K402" s="7">
        <v>-27</v>
      </c>
      <c r="L402" s="7">
        <f>IF(Table1[[#This Row],[Required_Qty]]&gt;Table1[[#This Row],[Available_Qty]],Table1[[#This Row],[Required_Qty]]-Table1[[#This Row],[Available_Qty]],0)</f>
        <v>27</v>
      </c>
      <c r="M402" s="7">
        <f>IF(Table1[[#This Row],[Required_Qty]]&lt;Table1[[#This Row],[Available_Qty]],Table1[[#This Row],[Available_Qty]]-Table1[[#This Row],[Required_Qty]],0)</f>
        <v>0</v>
      </c>
      <c r="N402">
        <v>141470</v>
      </c>
      <c r="O402" s="7">
        <f>IF(AND(Table1[[#This Row],[Clean_Shortage]]&gt;0,Table1[[#This Row],[Lead_Time_Days]]&gt;10),1,0)</f>
        <v>0</v>
      </c>
    </row>
    <row r="403" spans="1:15" hidden="1" x14ac:dyDescent="0.3">
      <c r="A403" t="s">
        <v>413</v>
      </c>
      <c r="B403" t="s">
        <v>513</v>
      </c>
      <c r="C403" t="s">
        <v>517</v>
      </c>
      <c r="D403">
        <v>41</v>
      </c>
      <c r="E403">
        <v>96</v>
      </c>
      <c r="F403">
        <v>69</v>
      </c>
      <c r="G403">
        <v>9590</v>
      </c>
      <c r="H403">
        <v>6</v>
      </c>
      <c r="I403" s="1">
        <v>45328</v>
      </c>
      <c r="J403" s="7">
        <f>Table1[[#This Row],[Required_Qty]]-Table1[[#This Row],[Available_Qty]]</f>
        <v>-55</v>
      </c>
      <c r="K403" s="7">
        <v>55</v>
      </c>
      <c r="L403" s="7">
        <f>IF(Table1[[#This Row],[Required_Qty]]&gt;Table1[[#This Row],[Available_Qty]],Table1[[#This Row],[Required_Qty]]-Table1[[#This Row],[Available_Qty]],0)</f>
        <v>0</v>
      </c>
      <c r="M403" s="7">
        <f>IF(Table1[[#This Row],[Required_Qty]]&lt;Table1[[#This Row],[Available_Qty]],Table1[[#This Row],[Available_Qty]]-Table1[[#This Row],[Required_Qty]],0)</f>
        <v>55</v>
      </c>
      <c r="N403">
        <v>661710</v>
      </c>
      <c r="O403" s="7">
        <f>IF(AND(Table1[[#This Row],[Clean_Shortage]]&gt;0,Table1[[#This Row],[Lead_Time_Days]]&gt;10),1,0)</f>
        <v>0</v>
      </c>
    </row>
    <row r="404" spans="1:15" hidden="1" x14ac:dyDescent="0.3">
      <c r="A404" t="s">
        <v>414</v>
      </c>
      <c r="B404" t="s">
        <v>512</v>
      </c>
      <c r="C404" t="s">
        <v>518</v>
      </c>
      <c r="D404">
        <v>39</v>
      </c>
      <c r="E404">
        <v>101</v>
      </c>
      <c r="F404">
        <v>45</v>
      </c>
      <c r="G404">
        <v>2733</v>
      </c>
      <c r="H404">
        <v>6</v>
      </c>
      <c r="I404" s="1">
        <v>45329</v>
      </c>
      <c r="J404" s="7">
        <f>Table1[[#This Row],[Required_Qty]]-Table1[[#This Row],[Available_Qty]]</f>
        <v>-62</v>
      </c>
      <c r="K404" s="7">
        <v>62</v>
      </c>
      <c r="L404" s="7">
        <f>IF(Table1[[#This Row],[Required_Qty]]&gt;Table1[[#This Row],[Available_Qty]],Table1[[#This Row],[Required_Qty]]-Table1[[#This Row],[Available_Qty]],0)</f>
        <v>0</v>
      </c>
      <c r="M404" s="7">
        <f>IF(Table1[[#This Row],[Required_Qty]]&lt;Table1[[#This Row],[Available_Qty]],Table1[[#This Row],[Available_Qty]]-Table1[[#This Row],[Required_Qty]],0)</f>
        <v>62</v>
      </c>
      <c r="N404">
        <v>122985</v>
      </c>
      <c r="O404" s="7">
        <f>IF(AND(Table1[[#This Row],[Clean_Shortage]]&gt;0,Table1[[#This Row],[Lead_Time_Days]]&gt;10),1,0)</f>
        <v>0</v>
      </c>
    </row>
    <row r="405" spans="1:15" hidden="1" x14ac:dyDescent="0.3">
      <c r="A405" t="s">
        <v>415</v>
      </c>
      <c r="B405" t="s">
        <v>514</v>
      </c>
      <c r="C405" t="s">
        <v>516</v>
      </c>
      <c r="D405">
        <v>38</v>
      </c>
      <c r="E405">
        <v>63</v>
      </c>
      <c r="F405">
        <v>42</v>
      </c>
      <c r="G405">
        <v>3125</v>
      </c>
      <c r="H405">
        <v>9</v>
      </c>
      <c r="I405" s="1">
        <v>45330</v>
      </c>
      <c r="J405" s="7">
        <f>Table1[[#This Row],[Required_Qty]]-Table1[[#This Row],[Available_Qty]]</f>
        <v>-25</v>
      </c>
      <c r="K405" s="7">
        <v>25</v>
      </c>
      <c r="L405" s="7">
        <f>IF(Table1[[#This Row],[Required_Qty]]&gt;Table1[[#This Row],[Available_Qty]],Table1[[#This Row],[Required_Qty]]-Table1[[#This Row],[Available_Qty]],0)</f>
        <v>0</v>
      </c>
      <c r="M405" s="7">
        <f>IF(Table1[[#This Row],[Required_Qty]]&lt;Table1[[#This Row],[Available_Qty]],Table1[[#This Row],[Available_Qty]]-Table1[[#This Row],[Required_Qty]],0)</f>
        <v>25</v>
      </c>
      <c r="N405">
        <v>131250</v>
      </c>
      <c r="O405" s="7">
        <f>IF(AND(Table1[[#This Row],[Clean_Shortage]]&gt;0,Table1[[#This Row],[Lead_Time_Days]]&gt;10),1,0)</f>
        <v>0</v>
      </c>
    </row>
    <row r="406" spans="1:15" hidden="1" x14ac:dyDescent="0.3">
      <c r="A406" t="s">
        <v>416</v>
      </c>
      <c r="B406" t="s">
        <v>513</v>
      </c>
      <c r="C406" t="s">
        <v>517</v>
      </c>
      <c r="D406">
        <v>58</v>
      </c>
      <c r="E406">
        <v>63</v>
      </c>
      <c r="F406">
        <v>20</v>
      </c>
      <c r="G406">
        <v>3171</v>
      </c>
      <c r="H406">
        <v>2</v>
      </c>
      <c r="I406" s="1">
        <v>45331</v>
      </c>
      <c r="J406" s="7">
        <f>Table1[[#This Row],[Required_Qty]]-Table1[[#This Row],[Available_Qty]]</f>
        <v>-5</v>
      </c>
      <c r="K406" s="7">
        <v>5</v>
      </c>
      <c r="L406" s="7">
        <f>IF(Table1[[#This Row],[Required_Qty]]&gt;Table1[[#This Row],[Available_Qty]],Table1[[#This Row],[Required_Qty]]-Table1[[#This Row],[Available_Qty]],0)</f>
        <v>0</v>
      </c>
      <c r="M406" s="7">
        <f>IF(Table1[[#This Row],[Required_Qty]]&lt;Table1[[#This Row],[Available_Qty]],Table1[[#This Row],[Available_Qty]]-Table1[[#This Row],[Required_Qty]],0)</f>
        <v>5</v>
      </c>
      <c r="N406">
        <v>63420</v>
      </c>
      <c r="O406" s="7">
        <f>IF(AND(Table1[[#This Row],[Clean_Shortage]]&gt;0,Table1[[#This Row],[Lead_Time_Days]]&gt;10),1,0)</f>
        <v>0</v>
      </c>
    </row>
    <row r="407" spans="1:15" hidden="1" x14ac:dyDescent="0.3">
      <c r="A407" t="s">
        <v>417</v>
      </c>
      <c r="B407" t="s">
        <v>513</v>
      </c>
      <c r="C407" t="s">
        <v>518</v>
      </c>
      <c r="D407">
        <v>54</v>
      </c>
      <c r="E407">
        <v>52</v>
      </c>
      <c r="F407">
        <v>22</v>
      </c>
      <c r="G407">
        <v>9266</v>
      </c>
      <c r="H407">
        <v>1</v>
      </c>
      <c r="I407" s="1">
        <v>45332</v>
      </c>
      <c r="J407" s="7">
        <f>Table1[[#This Row],[Required_Qty]]-Table1[[#This Row],[Available_Qty]]</f>
        <v>2</v>
      </c>
      <c r="K407" s="7">
        <v>-2</v>
      </c>
      <c r="L407" s="7">
        <f>IF(Table1[[#This Row],[Required_Qty]]&gt;Table1[[#This Row],[Available_Qty]],Table1[[#This Row],[Required_Qty]]-Table1[[#This Row],[Available_Qty]],0)</f>
        <v>2</v>
      </c>
      <c r="M407" s="7">
        <f>IF(Table1[[#This Row],[Required_Qty]]&lt;Table1[[#This Row],[Available_Qty]],Table1[[#This Row],[Available_Qty]]-Table1[[#This Row],[Required_Qty]],0)</f>
        <v>0</v>
      </c>
      <c r="N407">
        <v>203852</v>
      </c>
      <c r="O407" s="7">
        <f>IF(AND(Table1[[#This Row],[Clean_Shortage]]&gt;0,Table1[[#This Row],[Lead_Time_Days]]&gt;10),1,0)</f>
        <v>0</v>
      </c>
    </row>
    <row r="408" spans="1:15" hidden="1" x14ac:dyDescent="0.3">
      <c r="A408" t="s">
        <v>418</v>
      </c>
      <c r="B408" t="s">
        <v>515</v>
      </c>
      <c r="C408" t="s">
        <v>516</v>
      </c>
      <c r="D408">
        <v>39</v>
      </c>
      <c r="E408">
        <v>45</v>
      </c>
      <c r="F408">
        <v>79</v>
      </c>
      <c r="G408">
        <v>4471</v>
      </c>
      <c r="H408">
        <v>13</v>
      </c>
      <c r="I408" s="1">
        <v>45333</v>
      </c>
      <c r="J408" s="7">
        <f>Table1[[#This Row],[Required_Qty]]-Table1[[#This Row],[Available_Qty]]</f>
        <v>-6</v>
      </c>
      <c r="K408" s="7">
        <v>6</v>
      </c>
      <c r="L408" s="7">
        <f>IF(Table1[[#This Row],[Required_Qty]]&gt;Table1[[#This Row],[Available_Qty]],Table1[[#This Row],[Required_Qty]]-Table1[[#This Row],[Available_Qty]],0)</f>
        <v>0</v>
      </c>
      <c r="M408" s="7">
        <f>IF(Table1[[#This Row],[Required_Qty]]&lt;Table1[[#This Row],[Available_Qty]],Table1[[#This Row],[Available_Qty]]-Table1[[#This Row],[Required_Qty]],0)</f>
        <v>6</v>
      </c>
      <c r="N408">
        <v>353209</v>
      </c>
      <c r="O408" s="7">
        <f>IF(AND(Table1[[#This Row],[Clean_Shortage]]&gt;0,Table1[[#This Row],[Lead_Time_Days]]&gt;10),1,0)</f>
        <v>0</v>
      </c>
    </row>
    <row r="409" spans="1:15" x14ac:dyDescent="0.3">
      <c r="A409" t="s">
        <v>419</v>
      </c>
      <c r="B409" t="s">
        <v>513</v>
      </c>
      <c r="C409" t="s">
        <v>516</v>
      </c>
      <c r="D409">
        <v>25</v>
      </c>
      <c r="E409">
        <v>17</v>
      </c>
      <c r="F409">
        <v>46</v>
      </c>
      <c r="G409">
        <v>6624</v>
      </c>
      <c r="H409">
        <v>12</v>
      </c>
      <c r="I409" s="1">
        <v>45334</v>
      </c>
      <c r="J409" s="7">
        <f>Table1[[#This Row],[Required_Qty]]-Table1[[#This Row],[Available_Qty]]</f>
        <v>8</v>
      </c>
      <c r="K409" s="7">
        <v>-8</v>
      </c>
      <c r="L409" s="7">
        <f>IF(Table1[[#This Row],[Required_Qty]]&gt;Table1[[#This Row],[Available_Qty]],Table1[[#This Row],[Required_Qty]]-Table1[[#This Row],[Available_Qty]],0)</f>
        <v>8</v>
      </c>
      <c r="M409" s="7">
        <f>IF(Table1[[#This Row],[Required_Qty]]&lt;Table1[[#This Row],[Available_Qty]],Table1[[#This Row],[Available_Qty]]-Table1[[#This Row],[Required_Qty]],0)</f>
        <v>0</v>
      </c>
      <c r="N409">
        <v>304704</v>
      </c>
      <c r="O409" s="7">
        <f>IF(AND(Table1[[#This Row],[Clean_Shortage]]&gt;0,Table1[[#This Row],[Lead_Time_Days]]&gt;10),1,0)</f>
        <v>1</v>
      </c>
    </row>
    <row r="410" spans="1:15" hidden="1" x14ac:dyDescent="0.3">
      <c r="A410" t="s">
        <v>420</v>
      </c>
      <c r="B410" t="s">
        <v>513</v>
      </c>
      <c r="C410" t="s">
        <v>517</v>
      </c>
      <c r="D410">
        <v>49</v>
      </c>
      <c r="E410">
        <v>111</v>
      </c>
      <c r="F410">
        <v>14</v>
      </c>
      <c r="G410">
        <v>9691</v>
      </c>
      <c r="H410">
        <v>6</v>
      </c>
      <c r="I410" s="1">
        <v>45335</v>
      </c>
      <c r="J410" s="7">
        <f>Table1[[#This Row],[Required_Qty]]-Table1[[#This Row],[Available_Qty]]</f>
        <v>-62</v>
      </c>
      <c r="K410" s="7">
        <v>62</v>
      </c>
      <c r="L410" s="7">
        <f>IF(Table1[[#This Row],[Required_Qty]]&gt;Table1[[#This Row],[Available_Qty]],Table1[[#This Row],[Required_Qty]]-Table1[[#This Row],[Available_Qty]],0)</f>
        <v>0</v>
      </c>
      <c r="M410" s="7">
        <f>IF(Table1[[#This Row],[Required_Qty]]&lt;Table1[[#This Row],[Available_Qty]],Table1[[#This Row],[Available_Qty]]-Table1[[#This Row],[Required_Qty]],0)</f>
        <v>62</v>
      </c>
      <c r="N410">
        <v>135674</v>
      </c>
      <c r="O410" s="7">
        <f>IF(AND(Table1[[#This Row],[Clean_Shortage]]&gt;0,Table1[[#This Row],[Lead_Time_Days]]&gt;10),1,0)</f>
        <v>0</v>
      </c>
    </row>
    <row r="411" spans="1:15" hidden="1" x14ac:dyDescent="0.3">
      <c r="A411" t="s">
        <v>421</v>
      </c>
      <c r="B411" t="s">
        <v>515</v>
      </c>
      <c r="C411" t="s">
        <v>517</v>
      </c>
      <c r="D411">
        <v>28</v>
      </c>
      <c r="E411">
        <v>49</v>
      </c>
      <c r="F411">
        <v>24</v>
      </c>
      <c r="G411">
        <v>9329</v>
      </c>
      <c r="H411">
        <v>10</v>
      </c>
      <c r="I411" s="1">
        <v>45336</v>
      </c>
      <c r="J411" s="7">
        <f>Table1[[#This Row],[Required_Qty]]-Table1[[#This Row],[Available_Qty]]</f>
        <v>-21</v>
      </c>
      <c r="K411" s="7">
        <v>21</v>
      </c>
      <c r="L411" s="7">
        <f>IF(Table1[[#This Row],[Required_Qty]]&gt;Table1[[#This Row],[Available_Qty]],Table1[[#This Row],[Required_Qty]]-Table1[[#This Row],[Available_Qty]],0)</f>
        <v>0</v>
      </c>
      <c r="M411" s="7">
        <f>IF(Table1[[#This Row],[Required_Qty]]&lt;Table1[[#This Row],[Available_Qty]],Table1[[#This Row],[Available_Qty]]-Table1[[#This Row],[Required_Qty]],0)</f>
        <v>21</v>
      </c>
      <c r="N411">
        <v>223896</v>
      </c>
      <c r="O411" s="7">
        <f>IF(AND(Table1[[#This Row],[Clean_Shortage]]&gt;0,Table1[[#This Row],[Lead_Time_Days]]&gt;10),1,0)</f>
        <v>0</v>
      </c>
    </row>
    <row r="412" spans="1:15" hidden="1" x14ac:dyDescent="0.3">
      <c r="A412" t="s">
        <v>422</v>
      </c>
      <c r="B412" t="s">
        <v>512</v>
      </c>
      <c r="C412" t="s">
        <v>517</v>
      </c>
      <c r="D412">
        <v>27</v>
      </c>
      <c r="E412">
        <v>93</v>
      </c>
      <c r="F412">
        <v>35</v>
      </c>
      <c r="G412">
        <v>3097</v>
      </c>
      <c r="H412">
        <v>11</v>
      </c>
      <c r="I412" s="1">
        <v>45337</v>
      </c>
      <c r="J412" s="7">
        <f>Table1[[#This Row],[Required_Qty]]-Table1[[#This Row],[Available_Qty]]</f>
        <v>-66</v>
      </c>
      <c r="K412" s="7">
        <v>66</v>
      </c>
      <c r="L412" s="7">
        <f>IF(Table1[[#This Row],[Required_Qty]]&gt;Table1[[#This Row],[Available_Qty]],Table1[[#This Row],[Required_Qty]]-Table1[[#This Row],[Available_Qty]],0)</f>
        <v>0</v>
      </c>
      <c r="M412" s="7">
        <f>IF(Table1[[#This Row],[Required_Qty]]&lt;Table1[[#This Row],[Available_Qty]],Table1[[#This Row],[Available_Qty]]-Table1[[#This Row],[Required_Qty]],0)</f>
        <v>66</v>
      </c>
      <c r="N412">
        <v>108395</v>
      </c>
      <c r="O412" s="7">
        <f>IF(AND(Table1[[#This Row],[Clean_Shortage]]&gt;0,Table1[[#This Row],[Lead_Time_Days]]&gt;10),1,0)</f>
        <v>0</v>
      </c>
    </row>
    <row r="413" spans="1:15" hidden="1" x14ac:dyDescent="0.3">
      <c r="A413" t="s">
        <v>423</v>
      </c>
      <c r="B413" t="s">
        <v>513</v>
      </c>
      <c r="C413" t="s">
        <v>518</v>
      </c>
      <c r="D413">
        <v>10</v>
      </c>
      <c r="E413">
        <v>57</v>
      </c>
      <c r="F413">
        <v>74</v>
      </c>
      <c r="G413">
        <v>6068</v>
      </c>
      <c r="H413">
        <v>8</v>
      </c>
      <c r="I413" s="1">
        <v>45338</v>
      </c>
      <c r="J413" s="7">
        <f>Table1[[#This Row],[Required_Qty]]-Table1[[#This Row],[Available_Qty]]</f>
        <v>-47</v>
      </c>
      <c r="K413" s="7">
        <v>47</v>
      </c>
      <c r="L413" s="7">
        <f>IF(Table1[[#This Row],[Required_Qty]]&gt;Table1[[#This Row],[Available_Qty]],Table1[[#This Row],[Required_Qty]]-Table1[[#This Row],[Available_Qty]],0)</f>
        <v>0</v>
      </c>
      <c r="M413" s="7">
        <f>IF(Table1[[#This Row],[Required_Qty]]&lt;Table1[[#This Row],[Available_Qty]],Table1[[#This Row],[Available_Qty]]-Table1[[#This Row],[Required_Qty]],0)</f>
        <v>47</v>
      </c>
      <c r="N413">
        <v>449032</v>
      </c>
      <c r="O413" s="7">
        <f>IF(AND(Table1[[#This Row],[Clean_Shortage]]&gt;0,Table1[[#This Row],[Lead_Time_Days]]&gt;10),1,0)</f>
        <v>0</v>
      </c>
    </row>
    <row r="414" spans="1:15" hidden="1" x14ac:dyDescent="0.3">
      <c r="A414" t="s">
        <v>424</v>
      </c>
      <c r="B414" t="s">
        <v>515</v>
      </c>
      <c r="C414" t="s">
        <v>517</v>
      </c>
      <c r="D414">
        <v>87</v>
      </c>
      <c r="E414">
        <v>46</v>
      </c>
      <c r="F414">
        <v>50</v>
      </c>
      <c r="G414">
        <v>7397</v>
      </c>
      <c r="H414">
        <v>3</v>
      </c>
      <c r="I414" s="1">
        <v>45339</v>
      </c>
      <c r="J414" s="7">
        <f>Table1[[#This Row],[Required_Qty]]-Table1[[#This Row],[Available_Qty]]</f>
        <v>41</v>
      </c>
      <c r="K414" s="7">
        <v>-41</v>
      </c>
      <c r="L414" s="7">
        <f>IF(Table1[[#This Row],[Required_Qty]]&gt;Table1[[#This Row],[Available_Qty]],Table1[[#This Row],[Required_Qty]]-Table1[[#This Row],[Available_Qty]],0)</f>
        <v>41</v>
      </c>
      <c r="M414" s="7">
        <f>IF(Table1[[#This Row],[Required_Qty]]&lt;Table1[[#This Row],[Available_Qty]],Table1[[#This Row],[Available_Qty]]-Table1[[#This Row],[Required_Qty]],0)</f>
        <v>0</v>
      </c>
      <c r="N414">
        <v>369850</v>
      </c>
      <c r="O414" s="7">
        <f>IF(AND(Table1[[#This Row],[Clean_Shortage]]&gt;0,Table1[[#This Row],[Lead_Time_Days]]&gt;10),1,0)</f>
        <v>0</v>
      </c>
    </row>
    <row r="415" spans="1:15" hidden="1" x14ac:dyDescent="0.3">
      <c r="A415" t="s">
        <v>425</v>
      </c>
      <c r="B415" t="s">
        <v>514</v>
      </c>
      <c r="C415" t="s">
        <v>516</v>
      </c>
      <c r="D415">
        <v>56</v>
      </c>
      <c r="E415">
        <v>104</v>
      </c>
      <c r="F415">
        <v>14</v>
      </c>
      <c r="G415">
        <v>3757</v>
      </c>
      <c r="H415">
        <v>12</v>
      </c>
      <c r="I415" s="1">
        <v>45340</v>
      </c>
      <c r="J415" s="7">
        <f>Table1[[#This Row],[Required_Qty]]-Table1[[#This Row],[Available_Qty]]</f>
        <v>-48</v>
      </c>
      <c r="K415" s="7">
        <v>48</v>
      </c>
      <c r="L415" s="7">
        <f>IF(Table1[[#This Row],[Required_Qty]]&gt;Table1[[#This Row],[Available_Qty]],Table1[[#This Row],[Required_Qty]]-Table1[[#This Row],[Available_Qty]],0)</f>
        <v>0</v>
      </c>
      <c r="M415" s="7">
        <f>IF(Table1[[#This Row],[Required_Qty]]&lt;Table1[[#This Row],[Available_Qty]],Table1[[#This Row],[Available_Qty]]-Table1[[#This Row],[Required_Qty]],0)</f>
        <v>48</v>
      </c>
      <c r="N415">
        <v>52598</v>
      </c>
      <c r="O415" s="7">
        <f>IF(AND(Table1[[#This Row],[Clean_Shortage]]&gt;0,Table1[[#This Row],[Lead_Time_Days]]&gt;10),1,0)</f>
        <v>0</v>
      </c>
    </row>
    <row r="416" spans="1:15" hidden="1" x14ac:dyDescent="0.3">
      <c r="A416" t="s">
        <v>426</v>
      </c>
      <c r="B416" t="s">
        <v>512</v>
      </c>
      <c r="C416" t="s">
        <v>516</v>
      </c>
      <c r="D416">
        <v>75</v>
      </c>
      <c r="E416">
        <v>67</v>
      </c>
      <c r="F416">
        <v>67</v>
      </c>
      <c r="G416">
        <v>4920</v>
      </c>
      <c r="H416">
        <v>10</v>
      </c>
      <c r="I416" s="1">
        <v>45341</v>
      </c>
      <c r="J416" s="7">
        <f>Table1[[#This Row],[Required_Qty]]-Table1[[#This Row],[Available_Qty]]</f>
        <v>8</v>
      </c>
      <c r="K416" s="7">
        <v>-8</v>
      </c>
      <c r="L416" s="7">
        <f>IF(Table1[[#This Row],[Required_Qty]]&gt;Table1[[#This Row],[Available_Qty]],Table1[[#This Row],[Required_Qty]]-Table1[[#This Row],[Available_Qty]],0)</f>
        <v>8</v>
      </c>
      <c r="M416" s="7">
        <f>IF(Table1[[#This Row],[Required_Qty]]&lt;Table1[[#This Row],[Available_Qty]],Table1[[#This Row],[Available_Qty]]-Table1[[#This Row],[Required_Qty]],0)</f>
        <v>0</v>
      </c>
      <c r="N416">
        <v>329640</v>
      </c>
      <c r="O416" s="7">
        <f>IF(AND(Table1[[#This Row],[Clean_Shortage]]&gt;0,Table1[[#This Row],[Lead_Time_Days]]&gt;10),1,0)</f>
        <v>0</v>
      </c>
    </row>
    <row r="417" spans="1:15" hidden="1" x14ac:dyDescent="0.3">
      <c r="A417" t="s">
        <v>427</v>
      </c>
      <c r="B417" t="s">
        <v>514</v>
      </c>
      <c r="C417" t="s">
        <v>517</v>
      </c>
      <c r="D417">
        <v>47</v>
      </c>
      <c r="E417">
        <v>31</v>
      </c>
      <c r="F417">
        <v>20</v>
      </c>
      <c r="G417">
        <v>9186</v>
      </c>
      <c r="H417">
        <v>1</v>
      </c>
      <c r="I417" s="1">
        <v>45342</v>
      </c>
      <c r="J417" s="7">
        <f>Table1[[#This Row],[Required_Qty]]-Table1[[#This Row],[Available_Qty]]</f>
        <v>16</v>
      </c>
      <c r="K417" s="7">
        <v>-16</v>
      </c>
      <c r="L417" s="7">
        <f>IF(Table1[[#This Row],[Required_Qty]]&gt;Table1[[#This Row],[Available_Qty]],Table1[[#This Row],[Required_Qty]]-Table1[[#This Row],[Available_Qty]],0)</f>
        <v>16</v>
      </c>
      <c r="M417" s="7">
        <f>IF(Table1[[#This Row],[Required_Qty]]&lt;Table1[[#This Row],[Available_Qty]],Table1[[#This Row],[Available_Qty]]-Table1[[#This Row],[Required_Qty]],0)</f>
        <v>0</v>
      </c>
      <c r="N417">
        <v>183720</v>
      </c>
      <c r="O417" s="7">
        <f>IF(AND(Table1[[#This Row],[Clean_Shortage]]&gt;0,Table1[[#This Row],[Lead_Time_Days]]&gt;10),1,0)</f>
        <v>0</v>
      </c>
    </row>
    <row r="418" spans="1:15" hidden="1" x14ac:dyDescent="0.3">
      <c r="A418" t="s">
        <v>428</v>
      </c>
      <c r="B418" t="s">
        <v>514</v>
      </c>
      <c r="C418" t="s">
        <v>517</v>
      </c>
      <c r="D418">
        <v>60</v>
      </c>
      <c r="E418">
        <v>42</v>
      </c>
      <c r="F418">
        <v>12</v>
      </c>
      <c r="G418">
        <v>2900</v>
      </c>
      <c r="H418">
        <v>9</v>
      </c>
      <c r="I418" s="1">
        <v>45343</v>
      </c>
      <c r="J418" s="7">
        <f>Table1[[#This Row],[Required_Qty]]-Table1[[#This Row],[Available_Qty]]</f>
        <v>18</v>
      </c>
      <c r="K418" s="7">
        <v>-18</v>
      </c>
      <c r="L418" s="7">
        <f>IF(Table1[[#This Row],[Required_Qty]]&gt;Table1[[#This Row],[Available_Qty]],Table1[[#This Row],[Required_Qty]]-Table1[[#This Row],[Available_Qty]],0)</f>
        <v>18</v>
      </c>
      <c r="M418" s="7">
        <f>IF(Table1[[#This Row],[Required_Qty]]&lt;Table1[[#This Row],[Available_Qty]],Table1[[#This Row],[Available_Qty]]-Table1[[#This Row],[Required_Qty]],0)</f>
        <v>0</v>
      </c>
      <c r="N418">
        <v>34800</v>
      </c>
      <c r="O418" s="7">
        <f>IF(AND(Table1[[#This Row],[Clean_Shortage]]&gt;0,Table1[[#This Row],[Lead_Time_Days]]&gt;10),1,0)</f>
        <v>0</v>
      </c>
    </row>
    <row r="419" spans="1:15" x14ac:dyDescent="0.3">
      <c r="A419" t="s">
        <v>429</v>
      </c>
      <c r="B419" t="s">
        <v>515</v>
      </c>
      <c r="C419" t="s">
        <v>516</v>
      </c>
      <c r="D419">
        <v>72</v>
      </c>
      <c r="E419">
        <v>64</v>
      </c>
      <c r="F419">
        <v>18</v>
      </c>
      <c r="G419">
        <v>3610</v>
      </c>
      <c r="H419">
        <v>13</v>
      </c>
      <c r="I419" s="1">
        <v>45344</v>
      </c>
      <c r="J419" s="7">
        <f>Table1[[#This Row],[Required_Qty]]-Table1[[#This Row],[Available_Qty]]</f>
        <v>8</v>
      </c>
      <c r="K419" s="7">
        <v>-8</v>
      </c>
      <c r="L419" s="7">
        <f>IF(Table1[[#This Row],[Required_Qty]]&gt;Table1[[#This Row],[Available_Qty]],Table1[[#This Row],[Required_Qty]]-Table1[[#This Row],[Available_Qty]],0)</f>
        <v>8</v>
      </c>
      <c r="M419" s="7">
        <f>IF(Table1[[#This Row],[Required_Qty]]&lt;Table1[[#This Row],[Available_Qty]],Table1[[#This Row],[Available_Qty]]-Table1[[#This Row],[Required_Qty]],0)</f>
        <v>0</v>
      </c>
      <c r="N419">
        <v>64980</v>
      </c>
      <c r="O419" s="7">
        <f>IF(AND(Table1[[#This Row],[Clean_Shortage]]&gt;0,Table1[[#This Row],[Lead_Time_Days]]&gt;10),1,0)</f>
        <v>1</v>
      </c>
    </row>
    <row r="420" spans="1:15" x14ac:dyDescent="0.3">
      <c r="A420" t="s">
        <v>430</v>
      </c>
      <c r="B420" t="s">
        <v>513</v>
      </c>
      <c r="C420" t="s">
        <v>518</v>
      </c>
      <c r="D420">
        <v>13</v>
      </c>
      <c r="E420">
        <v>11</v>
      </c>
      <c r="F420">
        <v>33</v>
      </c>
      <c r="G420">
        <v>7900</v>
      </c>
      <c r="H420">
        <v>13</v>
      </c>
      <c r="I420" s="1">
        <v>45345</v>
      </c>
      <c r="J420" s="7">
        <f>Table1[[#This Row],[Required_Qty]]-Table1[[#This Row],[Available_Qty]]</f>
        <v>2</v>
      </c>
      <c r="K420" s="7">
        <v>-2</v>
      </c>
      <c r="L420" s="7">
        <f>IF(Table1[[#This Row],[Required_Qty]]&gt;Table1[[#This Row],[Available_Qty]],Table1[[#This Row],[Required_Qty]]-Table1[[#This Row],[Available_Qty]],0)</f>
        <v>2</v>
      </c>
      <c r="M420" s="7">
        <f>IF(Table1[[#This Row],[Required_Qty]]&lt;Table1[[#This Row],[Available_Qty]],Table1[[#This Row],[Available_Qty]]-Table1[[#This Row],[Required_Qty]],0)</f>
        <v>0</v>
      </c>
      <c r="N420">
        <v>260700</v>
      </c>
      <c r="O420" s="7">
        <f>IF(AND(Table1[[#This Row],[Clean_Shortage]]&gt;0,Table1[[#This Row],[Lead_Time_Days]]&gt;10),1,0)</f>
        <v>1</v>
      </c>
    </row>
    <row r="421" spans="1:15" hidden="1" x14ac:dyDescent="0.3">
      <c r="A421" t="s">
        <v>431</v>
      </c>
      <c r="B421" t="s">
        <v>515</v>
      </c>
      <c r="C421" t="s">
        <v>517</v>
      </c>
      <c r="D421">
        <v>10</v>
      </c>
      <c r="E421">
        <v>9</v>
      </c>
      <c r="F421">
        <v>77</v>
      </c>
      <c r="G421">
        <v>2449</v>
      </c>
      <c r="H421">
        <v>1</v>
      </c>
      <c r="I421" s="1">
        <v>45346</v>
      </c>
      <c r="J421" s="7">
        <f>Table1[[#This Row],[Required_Qty]]-Table1[[#This Row],[Available_Qty]]</f>
        <v>1</v>
      </c>
      <c r="K421" s="7">
        <v>-1</v>
      </c>
      <c r="L421" s="7">
        <f>IF(Table1[[#This Row],[Required_Qty]]&gt;Table1[[#This Row],[Available_Qty]],Table1[[#This Row],[Required_Qty]]-Table1[[#This Row],[Available_Qty]],0)</f>
        <v>1</v>
      </c>
      <c r="M421" s="7">
        <f>IF(Table1[[#This Row],[Required_Qty]]&lt;Table1[[#This Row],[Available_Qty]],Table1[[#This Row],[Available_Qty]]-Table1[[#This Row],[Required_Qty]],0)</f>
        <v>0</v>
      </c>
      <c r="N421">
        <v>188573</v>
      </c>
      <c r="O421" s="7">
        <f>IF(AND(Table1[[#This Row],[Clean_Shortage]]&gt;0,Table1[[#This Row],[Lead_Time_Days]]&gt;10),1,0)</f>
        <v>0</v>
      </c>
    </row>
    <row r="422" spans="1:15" hidden="1" x14ac:dyDescent="0.3">
      <c r="A422" t="s">
        <v>432</v>
      </c>
      <c r="B422" t="s">
        <v>515</v>
      </c>
      <c r="C422" t="s">
        <v>517</v>
      </c>
      <c r="D422">
        <v>17</v>
      </c>
      <c r="E422">
        <v>111</v>
      </c>
      <c r="F422">
        <v>67</v>
      </c>
      <c r="G422">
        <v>9738</v>
      </c>
      <c r="H422">
        <v>3</v>
      </c>
      <c r="I422" s="1">
        <v>45347</v>
      </c>
      <c r="J422" s="7">
        <f>Table1[[#This Row],[Required_Qty]]-Table1[[#This Row],[Available_Qty]]</f>
        <v>-94</v>
      </c>
      <c r="K422" s="7">
        <v>94</v>
      </c>
      <c r="L422" s="7">
        <f>IF(Table1[[#This Row],[Required_Qty]]&gt;Table1[[#This Row],[Available_Qty]],Table1[[#This Row],[Required_Qty]]-Table1[[#This Row],[Available_Qty]],0)</f>
        <v>0</v>
      </c>
      <c r="M422" s="7">
        <f>IF(Table1[[#This Row],[Required_Qty]]&lt;Table1[[#This Row],[Available_Qty]],Table1[[#This Row],[Available_Qty]]-Table1[[#This Row],[Required_Qty]],0)</f>
        <v>94</v>
      </c>
      <c r="N422">
        <v>652446</v>
      </c>
      <c r="O422" s="7">
        <f>IF(AND(Table1[[#This Row],[Clean_Shortage]]&gt;0,Table1[[#This Row],[Lead_Time_Days]]&gt;10),1,0)</f>
        <v>0</v>
      </c>
    </row>
    <row r="423" spans="1:15" hidden="1" x14ac:dyDescent="0.3">
      <c r="A423" t="s">
        <v>433</v>
      </c>
      <c r="B423" t="s">
        <v>515</v>
      </c>
      <c r="C423" t="s">
        <v>516</v>
      </c>
      <c r="D423">
        <v>38</v>
      </c>
      <c r="E423">
        <v>49</v>
      </c>
      <c r="F423">
        <v>51</v>
      </c>
      <c r="G423">
        <v>6017</v>
      </c>
      <c r="H423">
        <v>8</v>
      </c>
      <c r="I423" s="1">
        <v>45348</v>
      </c>
      <c r="J423" s="7">
        <f>Table1[[#This Row],[Required_Qty]]-Table1[[#This Row],[Available_Qty]]</f>
        <v>-11</v>
      </c>
      <c r="K423" s="7">
        <v>11</v>
      </c>
      <c r="L423" s="7">
        <f>IF(Table1[[#This Row],[Required_Qty]]&gt;Table1[[#This Row],[Available_Qty]],Table1[[#This Row],[Required_Qty]]-Table1[[#This Row],[Available_Qty]],0)</f>
        <v>0</v>
      </c>
      <c r="M423" s="7">
        <f>IF(Table1[[#This Row],[Required_Qty]]&lt;Table1[[#This Row],[Available_Qty]],Table1[[#This Row],[Available_Qty]]-Table1[[#This Row],[Required_Qty]],0)</f>
        <v>11</v>
      </c>
      <c r="N423">
        <v>306867</v>
      </c>
      <c r="O423" s="7">
        <f>IF(AND(Table1[[#This Row],[Clean_Shortage]]&gt;0,Table1[[#This Row],[Lead_Time_Days]]&gt;10),1,0)</f>
        <v>0</v>
      </c>
    </row>
    <row r="424" spans="1:15" x14ac:dyDescent="0.3">
      <c r="A424" t="s">
        <v>434</v>
      </c>
      <c r="B424" t="s">
        <v>515</v>
      </c>
      <c r="C424" t="s">
        <v>517</v>
      </c>
      <c r="D424">
        <v>64</v>
      </c>
      <c r="E424">
        <v>62</v>
      </c>
      <c r="F424">
        <v>26</v>
      </c>
      <c r="G424">
        <v>8999</v>
      </c>
      <c r="H424">
        <v>14</v>
      </c>
      <c r="I424" s="1">
        <v>45349</v>
      </c>
      <c r="J424" s="7">
        <f>Table1[[#This Row],[Required_Qty]]-Table1[[#This Row],[Available_Qty]]</f>
        <v>2</v>
      </c>
      <c r="K424" s="7">
        <v>-2</v>
      </c>
      <c r="L424" s="7">
        <f>IF(Table1[[#This Row],[Required_Qty]]&gt;Table1[[#This Row],[Available_Qty]],Table1[[#This Row],[Required_Qty]]-Table1[[#This Row],[Available_Qty]],0)</f>
        <v>2</v>
      </c>
      <c r="M424" s="7">
        <f>IF(Table1[[#This Row],[Required_Qty]]&lt;Table1[[#This Row],[Available_Qty]],Table1[[#This Row],[Available_Qty]]-Table1[[#This Row],[Required_Qty]],0)</f>
        <v>0</v>
      </c>
      <c r="N424">
        <v>233974</v>
      </c>
      <c r="O424" s="7">
        <f>IF(AND(Table1[[#This Row],[Clean_Shortage]]&gt;0,Table1[[#This Row],[Lead_Time_Days]]&gt;10),1,0)</f>
        <v>1</v>
      </c>
    </row>
    <row r="425" spans="1:15" hidden="1" x14ac:dyDescent="0.3">
      <c r="A425" t="s">
        <v>435</v>
      </c>
      <c r="B425" t="s">
        <v>512</v>
      </c>
      <c r="C425" t="s">
        <v>518</v>
      </c>
      <c r="D425">
        <v>12</v>
      </c>
      <c r="E425">
        <v>119</v>
      </c>
      <c r="F425">
        <v>28</v>
      </c>
      <c r="G425">
        <v>7052</v>
      </c>
      <c r="H425">
        <v>3</v>
      </c>
      <c r="I425" s="1">
        <v>45350</v>
      </c>
      <c r="J425" s="7">
        <f>Table1[[#This Row],[Required_Qty]]-Table1[[#This Row],[Available_Qty]]</f>
        <v>-107</v>
      </c>
      <c r="K425" s="7">
        <v>107</v>
      </c>
      <c r="L425" s="7">
        <f>IF(Table1[[#This Row],[Required_Qty]]&gt;Table1[[#This Row],[Available_Qty]],Table1[[#This Row],[Required_Qty]]-Table1[[#This Row],[Available_Qty]],0)</f>
        <v>0</v>
      </c>
      <c r="M425" s="7">
        <f>IF(Table1[[#This Row],[Required_Qty]]&lt;Table1[[#This Row],[Available_Qty]],Table1[[#This Row],[Available_Qty]]-Table1[[#This Row],[Required_Qty]],0)</f>
        <v>107</v>
      </c>
      <c r="N425">
        <v>197456</v>
      </c>
      <c r="O425" s="7">
        <f>IF(AND(Table1[[#This Row],[Clean_Shortage]]&gt;0,Table1[[#This Row],[Lead_Time_Days]]&gt;10),1,0)</f>
        <v>0</v>
      </c>
    </row>
    <row r="426" spans="1:15" x14ac:dyDescent="0.3">
      <c r="A426" t="s">
        <v>436</v>
      </c>
      <c r="B426" t="s">
        <v>513</v>
      </c>
      <c r="C426" t="s">
        <v>516</v>
      </c>
      <c r="D426">
        <v>41</v>
      </c>
      <c r="E426">
        <v>35</v>
      </c>
      <c r="F426">
        <v>27</v>
      </c>
      <c r="G426">
        <v>3096</v>
      </c>
      <c r="H426">
        <v>13</v>
      </c>
      <c r="I426" s="1">
        <v>45351</v>
      </c>
      <c r="J426" s="7">
        <f>Table1[[#This Row],[Required_Qty]]-Table1[[#This Row],[Available_Qty]]</f>
        <v>6</v>
      </c>
      <c r="K426" s="7">
        <v>-6</v>
      </c>
      <c r="L426" s="7">
        <f>IF(Table1[[#This Row],[Required_Qty]]&gt;Table1[[#This Row],[Available_Qty]],Table1[[#This Row],[Required_Qty]]-Table1[[#This Row],[Available_Qty]],0)</f>
        <v>6</v>
      </c>
      <c r="M426" s="7">
        <f>IF(Table1[[#This Row],[Required_Qty]]&lt;Table1[[#This Row],[Available_Qty]],Table1[[#This Row],[Available_Qty]]-Table1[[#This Row],[Required_Qty]],0)</f>
        <v>0</v>
      </c>
      <c r="N426">
        <v>83592</v>
      </c>
      <c r="O426" s="7">
        <f>IF(AND(Table1[[#This Row],[Clean_Shortage]]&gt;0,Table1[[#This Row],[Lead_Time_Days]]&gt;10),1,0)</f>
        <v>1</v>
      </c>
    </row>
    <row r="427" spans="1:15" hidden="1" x14ac:dyDescent="0.3">
      <c r="A427" t="s">
        <v>437</v>
      </c>
      <c r="B427" t="s">
        <v>514</v>
      </c>
      <c r="C427" t="s">
        <v>517</v>
      </c>
      <c r="D427">
        <v>19</v>
      </c>
      <c r="E427">
        <v>27</v>
      </c>
      <c r="F427">
        <v>34</v>
      </c>
      <c r="G427">
        <v>9895</v>
      </c>
      <c r="H427">
        <v>4</v>
      </c>
      <c r="I427" s="1">
        <v>45352</v>
      </c>
      <c r="J427" s="7">
        <f>Table1[[#This Row],[Required_Qty]]-Table1[[#This Row],[Available_Qty]]</f>
        <v>-8</v>
      </c>
      <c r="K427" s="7">
        <v>8</v>
      </c>
      <c r="L427" s="7">
        <f>IF(Table1[[#This Row],[Required_Qty]]&gt;Table1[[#This Row],[Available_Qty]],Table1[[#This Row],[Required_Qty]]-Table1[[#This Row],[Available_Qty]],0)</f>
        <v>0</v>
      </c>
      <c r="M427" s="7">
        <f>IF(Table1[[#This Row],[Required_Qty]]&lt;Table1[[#This Row],[Available_Qty]],Table1[[#This Row],[Available_Qty]]-Table1[[#This Row],[Required_Qty]],0)</f>
        <v>8</v>
      </c>
      <c r="N427">
        <v>336430</v>
      </c>
      <c r="O427" s="7">
        <f>IF(AND(Table1[[#This Row],[Clean_Shortage]]&gt;0,Table1[[#This Row],[Lead_Time_Days]]&gt;10),1,0)</f>
        <v>0</v>
      </c>
    </row>
    <row r="428" spans="1:15" hidden="1" x14ac:dyDescent="0.3">
      <c r="A428" t="s">
        <v>438</v>
      </c>
      <c r="B428" t="s">
        <v>514</v>
      </c>
      <c r="C428" t="s">
        <v>516</v>
      </c>
      <c r="D428">
        <v>83</v>
      </c>
      <c r="E428">
        <v>46</v>
      </c>
      <c r="F428">
        <v>7</v>
      </c>
      <c r="G428">
        <v>7404</v>
      </c>
      <c r="H428">
        <v>8</v>
      </c>
      <c r="I428" s="1">
        <v>45353</v>
      </c>
      <c r="J428" s="7">
        <f>Table1[[#This Row],[Required_Qty]]-Table1[[#This Row],[Available_Qty]]</f>
        <v>37</v>
      </c>
      <c r="K428" s="7">
        <v>-37</v>
      </c>
      <c r="L428" s="7">
        <f>IF(Table1[[#This Row],[Required_Qty]]&gt;Table1[[#This Row],[Available_Qty]],Table1[[#This Row],[Required_Qty]]-Table1[[#This Row],[Available_Qty]],0)</f>
        <v>37</v>
      </c>
      <c r="M428" s="7">
        <f>IF(Table1[[#This Row],[Required_Qty]]&lt;Table1[[#This Row],[Available_Qty]],Table1[[#This Row],[Available_Qty]]-Table1[[#This Row],[Required_Qty]],0)</f>
        <v>0</v>
      </c>
      <c r="N428">
        <v>51828</v>
      </c>
      <c r="O428" s="7">
        <f>IF(AND(Table1[[#This Row],[Clean_Shortage]]&gt;0,Table1[[#This Row],[Lead_Time_Days]]&gt;10),1,0)</f>
        <v>0</v>
      </c>
    </row>
    <row r="429" spans="1:15" hidden="1" x14ac:dyDescent="0.3">
      <c r="A429" t="s">
        <v>439</v>
      </c>
      <c r="B429" t="s">
        <v>513</v>
      </c>
      <c r="C429" t="s">
        <v>517</v>
      </c>
      <c r="D429">
        <v>92</v>
      </c>
      <c r="E429">
        <v>14</v>
      </c>
      <c r="F429">
        <v>15</v>
      </c>
      <c r="G429">
        <v>4331</v>
      </c>
      <c r="H429">
        <v>1</v>
      </c>
      <c r="I429" s="1">
        <v>45354</v>
      </c>
      <c r="J429" s="7">
        <f>Table1[[#This Row],[Required_Qty]]-Table1[[#This Row],[Available_Qty]]</f>
        <v>78</v>
      </c>
      <c r="K429" s="7">
        <v>-78</v>
      </c>
      <c r="L429" s="7">
        <f>IF(Table1[[#This Row],[Required_Qty]]&gt;Table1[[#This Row],[Available_Qty]],Table1[[#This Row],[Required_Qty]]-Table1[[#This Row],[Available_Qty]],0)</f>
        <v>78</v>
      </c>
      <c r="M429" s="7">
        <f>IF(Table1[[#This Row],[Required_Qty]]&lt;Table1[[#This Row],[Available_Qty]],Table1[[#This Row],[Available_Qty]]-Table1[[#This Row],[Required_Qty]],0)</f>
        <v>0</v>
      </c>
      <c r="N429">
        <v>64965</v>
      </c>
      <c r="O429" s="7">
        <f>IF(AND(Table1[[#This Row],[Clean_Shortage]]&gt;0,Table1[[#This Row],[Lead_Time_Days]]&gt;10),1,0)</f>
        <v>0</v>
      </c>
    </row>
    <row r="430" spans="1:15" x14ac:dyDescent="0.3">
      <c r="A430" t="s">
        <v>440</v>
      </c>
      <c r="B430" t="s">
        <v>514</v>
      </c>
      <c r="C430" t="s">
        <v>517</v>
      </c>
      <c r="D430">
        <v>43</v>
      </c>
      <c r="E430">
        <v>36</v>
      </c>
      <c r="F430">
        <v>35</v>
      </c>
      <c r="G430">
        <v>8462</v>
      </c>
      <c r="H430">
        <v>13</v>
      </c>
      <c r="I430" s="1">
        <v>45355</v>
      </c>
      <c r="J430" s="7">
        <f>Table1[[#This Row],[Required_Qty]]-Table1[[#This Row],[Available_Qty]]</f>
        <v>7</v>
      </c>
      <c r="K430" s="7">
        <v>-7</v>
      </c>
      <c r="L430" s="7">
        <f>IF(Table1[[#This Row],[Required_Qty]]&gt;Table1[[#This Row],[Available_Qty]],Table1[[#This Row],[Required_Qty]]-Table1[[#This Row],[Available_Qty]],0)</f>
        <v>7</v>
      </c>
      <c r="M430" s="7">
        <f>IF(Table1[[#This Row],[Required_Qty]]&lt;Table1[[#This Row],[Available_Qty]],Table1[[#This Row],[Available_Qty]]-Table1[[#This Row],[Required_Qty]],0)</f>
        <v>0</v>
      </c>
      <c r="N430">
        <v>296170</v>
      </c>
      <c r="O430" s="7">
        <f>IF(AND(Table1[[#This Row],[Clean_Shortage]]&gt;0,Table1[[#This Row],[Lead_Time_Days]]&gt;10),1,0)</f>
        <v>1</v>
      </c>
    </row>
    <row r="431" spans="1:15" hidden="1" x14ac:dyDescent="0.3">
      <c r="A431" t="s">
        <v>441</v>
      </c>
      <c r="B431" t="s">
        <v>513</v>
      </c>
      <c r="C431" t="s">
        <v>517</v>
      </c>
      <c r="D431">
        <v>96</v>
      </c>
      <c r="E431">
        <v>111</v>
      </c>
      <c r="F431">
        <v>29</v>
      </c>
      <c r="G431">
        <v>6105</v>
      </c>
      <c r="H431">
        <v>13</v>
      </c>
      <c r="I431" s="1">
        <v>45356</v>
      </c>
      <c r="J431" s="7">
        <f>Table1[[#This Row],[Required_Qty]]-Table1[[#This Row],[Available_Qty]]</f>
        <v>-15</v>
      </c>
      <c r="K431" s="7">
        <v>15</v>
      </c>
      <c r="L431" s="7">
        <f>IF(Table1[[#This Row],[Required_Qty]]&gt;Table1[[#This Row],[Available_Qty]],Table1[[#This Row],[Required_Qty]]-Table1[[#This Row],[Available_Qty]],0)</f>
        <v>0</v>
      </c>
      <c r="M431" s="7">
        <f>IF(Table1[[#This Row],[Required_Qty]]&lt;Table1[[#This Row],[Available_Qty]],Table1[[#This Row],[Available_Qty]]-Table1[[#This Row],[Required_Qty]],0)</f>
        <v>15</v>
      </c>
      <c r="N431">
        <v>177045</v>
      </c>
      <c r="O431" s="7">
        <f>IF(AND(Table1[[#This Row],[Clean_Shortage]]&gt;0,Table1[[#This Row],[Lead_Time_Days]]&gt;10),1,0)</f>
        <v>0</v>
      </c>
    </row>
    <row r="432" spans="1:15" hidden="1" x14ac:dyDescent="0.3">
      <c r="A432" t="s">
        <v>442</v>
      </c>
      <c r="B432" t="s">
        <v>514</v>
      </c>
      <c r="C432" t="s">
        <v>518</v>
      </c>
      <c r="D432">
        <v>64</v>
      </c>
      <c r="E432">
        <v>57</v>
      </c>
      <c r="F432">
        <v>17</v>
      </c>
      <c r="G432">
        <v>3978</v>
      </c>
      <c r="H432">
        <v>6</v>
      </c>
      <c r="I432" s="1">
        <v>45357</v>
      </c>
      <c r="J432" s="7">
        <f>Table1[[#This Row],[Required_Qty]]-Table1[[#This Row],[Available_Qty]]</f>
        <v>7</v>
      </c>
      <c r="K432" s="7">
        <v>-7</v>
      </c>
      <c r="L432" s="7">
        <f>IF(Table1[[#This Row],[Required_Qty]]&gt;Table1[[#This Row],[Available_Qty]],Table1[[#This Row],[Required_Qty]]-Table1[[#This Row],[Available_Qty]],0)</f>
        <v>7</v>
      </c>
      <c r="M432" s="7">
        <f>IF(Table1[[#This Row],[Required_Qty]]&lt;Table1[[#This Row],[Available_Qty]],Table1[[#This Row],[Available_Qty]]-Table1[[#This Row],[Required_Qty]],0)</f>
        <v>0</v>
      </c>
      <c r="N432">
        <v>67626</v>
      </c>
      <c r="O432" s="7">
        <f>IF(AND(Table1[[#This Row],[Clean_Shortage]]&gt;0,Table1[[#This Row],[Lead_Time_Days]]&gt;10),1,0)</f>
        <v>0</v>
      </c>
    </row>
    <row r="433" spans="1:15" hidden="1" x14ac:dyDescent="0.3">
      <c r="A433" t="s">
        <v>443</v>
      </c>
      <c r="B433" t="s">
        <v>515</v>
      </c>
      <c r="C433" t="s">
        <v>518</v>
      </c>
      <c r="D433">
        <v>41</v>
      </c>
      <c r="E433">
        <v>34</v>
      </c>
      <c r="F433">
        <v>1</v>
      </c>
      <c r="G433">
        <v>3839</v>
      </c>
      <c r="H433">
        <v>1</v>
      </c>
      <c r="I433" s="1">
        <v>45358</v>
      </c>
      <c r="J433" s="7">
        <f>Table1[[#This Row],[Required_Qty]]-Table1[[#This Row],[Available_Qty]]</f>
        <v>7</v>
      </c>
      <c r="K433" s="7">
        <v>-7</v>
      </c>
      <c r="L433" s="7">
        <f>IF(Table1[[#This Row],[Required_Qty]]&gt;Table1[[#This Row],[Available_Qty]],Table1[[#This Row],[Required_Qty]]-Table1[[#This Row],[Available_Qty]],0)</f>
        <v>7</v>
      </c>
      <c r="M433" s="7">
        <f>IF(Table1[[#This Row],[Required_Qty]]&lt;Table1[[#This Row],[Available_Qty]],Table1[[#This Row],[Available_Qty]]-Table1[[#This Row],[Required_Qty]],0)</f>
        <v>0</v>
      </c>
      <c r="N433">
        <v>3839</v>
      </c>
      <c r="O433" s="7">
        <f>IF(AND(Table1[[#This Row],[Clean_Shortage]]&gt;0,Table1[[#This Row],[Lead_Time_Days]]&gt;10),1,0)</f>
        <v>0</v>
      </c>
    </row>
    <row r="434" spans="1:15" x14ac:dyDescent="0.3">
      <c r="A434" t="s">
        <v>444</v>
      </c>
      <c r="B434" t="s">
        <v>514</v>
      </c>
      <c r="C434" t="s">
        <v>516</v>
      </c>
      <c r="D434">
        <v>59</v>
      </c>
      <c r="E434">
        <v>43</v>
      </c>
      <c r="F434">
        <v>48</v>
      </c>
      <c r="G434">
        <v>4384</v>
      </c>
      <c r="H434">
        <v>14</v>
      </c>
      <c r="I434" s="1">
        <v>45359</v>
      </c>
      <c r="J434" s="7">
        <f>Table1[[#This Row],[Required_Qty]]-Table1[[#This Row],[Available_Qty]]</f>
        <v>16</v>
      </c>
      <c r="K434" s="7">
        <v>-16</v>
      </c>
      <c r="L434" s="7">
        <f>IF(Table1[[#This Row],[Required_Qty]]&gt;Table1[[#This Row],[Available_Qty]],Table1[[#This Row],[Required_Qty]]-Table1[[#This Row],[Available_Qty]],0)</f>
        <v>16</v>
      </c>
      <c r="M434" s="7">
        <f>IF(Table1[[#This Row],[Required_Qty]]&lt;Table1[[#This Row],[Available_Qty]],Table1[[#This Row],[Available_Qty]]-Table1[[#This Row],[Required_Qty]],0)</f>
        <v>0</v>
      </c>
      <c r="N434">
        <v>210432</v>
      </c>
      <c r="O434" s="7">
        <f>IF(AND(Table1[[#This Row],[Clean_Shortage]]&gt;0,Table1[[#This Row],[Lead_Time_Days]]&gt;10),1,0)</f>
        <v>1</v>
      </c>
    </row>
    <row r="435" spans="1:15" hidden="1" x14ac:dyDescent="0.3">
      <c r="A435" t="s">
        <v>445</v>
      </c>
      <c r="B435" t="s">
        <v>513</v>
      </c>
      <c r="C435" t="s">
        <v>517</v>
      </c>
      <c r="D435">
        <v>16</v>
      </c>
      <c r="E435">
        <v>35</v>
      </c>
      <c r="F435">
        <v>76</v>
      </c>
      <c r="G435">
        <v>1685</v>
      </c>
      <c r="H435">
        <v>1</v>
      </c>
      <c r="I435" s="1">
        <v>45360</v>
      </c>
      <c r="J435" s="7">
        <f>Table1[[#This Row],[Required_Qty]]-Table1[[#This Row],[Available_Qty]]</f>
        <v>-19</v>
      </c>
      <c r="K435" s="7">
        <v>19</v>
      </c>
      <c r="L435" s="7">
        <f>IF(Table1[[#This Row],[Required_Qty]]&gt;Table1[[#This Row],[Available_Qty]],Table1[[#This Row],[Required_Qty]]-Table1[[#This Row],[Available_Qty]],0)</f>
        <v>0</v>
      </c>
      <c r="M435" s="7">
        <f>IF(Table1[[#This Row],[Required_Qty]]&lt;Table1[[#This Row],[Available_Qty]],Table1[[#This Row],[Available_Qty]]-Table1[[#This Row],[Required_Qty]],0)</f>
        <v>19</v>
      </c>
      <c r="N435">
        <v>128060</v>
      </c>
      <c r="O435" s="7">
        <f>IF(AND(Table1[[#This Row],[Clean_Shortage]]&gt;0,Table1[[#This Row],[Lead_Time_Days]]&gt;10),1,0)</f>
        <v>0</v>
      </c>
    </row>
    <row r="436" spans="1:15" hidden="1" x14ac:dyDescent="0.3">
      <c r="A436" t="s">
        <v>446</v>
      </c>
      <c r="B436" t="s">
        <v>513</v>
      </c>
      <c r="C436" t="s">
        <v>517</v>
      </c>
      <c r="D436">
        <v>17</v>
      </c>
      <c r="E436">
        <v>86</v>
      </c>
      <c r="F436">
        <v>3</v>
      </c>
      <c r="G436">
        <v>8531</v>
      </c>
      <c r="H436">
        <v>14</v>
      </c>
      <c r="I436" s="1">
        <v>45361</v>
      </c>
      <c r="J436" s="7">
        <f>Table1[[#This Row],[Required_Qty]]-Table1[[#This Row],[Available_Qty]]</f>
        <v>-69</v>
      </c>
      <c r="K436" s="7">
        <v>69</v>
      </c>
      <c r="L436" s="7">
        <f>IF(Table1[[#This Row],[Required_Qty]]&gt;Table1[[#This Row],[Available_Qty]],Table1[[#This Row],[Required_Qty]]-Table1[[#This Row],[Available_Qty]],0)</f>
        <v>0</v>
      </c>
      <c r="M436" s="7">
        <f>IF(Table1[[#This Row],[Required_Qty]]&lt;Table1[[#This Row],[Available_Qty]],Table1[[#This Row],[Available_Qty]]-Table1[[#This Row],[Required_Qty]],0)</f>
        <v>69</v>
      </c>
      <c r="N436">
        <v>25593</v>
      </c>
      <c r="O436" s="7">
        <f>IF(AND(Table1[[#This Row],[Clean_Shortage]]&gt;0,Table1[[#This Row],[Lead_Time_Days]]&gt;10),1,0)</f>
        <v>0</v>
      </c>
    </row>
    <row r="437" spans="1:15" hidden="1" x14ac:dyDescent="0.3">
      <c r="A437" t="s">
        <v>447</v>
      </c>
      <c r="B437" t="s">
        <v>513</v>
      </c>
      <c r="C437" t="s">
        <v>518</v>
      </c>
      <c r="D437">
        <v>74</v>
      </c>
      <c r="E437">
        <v>104</v>
      </c>
      <c r="F437">
        <v>74</v>
      </c>
      <c r="G437">
        <v>5283</v>
      </c>
      <c r="H437">
        <v>8</v>
      </c>
      <c r="I437" s="1">
        <v>45362</v>
      </c>
      <c r="J437" s="7">
        <f>Table1[[#This Row],[Required_Qty]]-Table1[[#This Row],[Available_Qty]]</f>
        <v>-30</v>
      </c>
      <c r="K437" s="7">
        <v>30</v>
      </c>
      <c r="L437" s="7">
        <f>IF(Table1[[#This Row],[Required_Qty]]&gt;Table1[[#This Row],[Available_Qty]],Table1[[#This Row],[Required_Qty]]-Table1[[#This Row],[Available_Qty]],0)</f>
        <v>0</v>
      </c>
      <c r="M437" s="7">
        <f>IF(Table1[[#This Row],[Required_Qty]]&lt;Table1[[#This Row],[Available_Qty]],Table1[[#This Row],[Available_Qty]]-Table1[[#This Row],[Required_Qty]],0)</f>
        <v>30</v>
      </c>
      <c r="N437">
        <v>390942</v>
      </c>
      <c r="O437" s="7">
        <f>IF(AND(Table1[[#This Row],[Clean_Shortage]]&gt;0,Table1[[#This Row],[Lead_Time_Days]]&gt;10),1,0)</f>
        <v>0</v>
      </c>
    </row>
    <row r="438" spans="1:15" x14ac:dyDescent="0.3">
      <c r="A438" t="s">
        <v>448</v>
      </c>
      <c r="B438" t="s">
        <v>513</v>
      </c>
      <c r="C438" t="s">
        <v>517</v>
      </c>
      <c r="D438">
        <v>66</v>
      </c>
      <c r="E438">
        <v>6</v>
      </c>
      <c r="F438">
        <v>6</v>
      </c>
      <c r="G438">
        <v>8736</v>
      </c>
      <c r="H438">
        <v>11</v>
      </c>
      <c r="I438" s="1">
        <v>45363</v>
      </c>
      <c r="J438" s="7">
        <f>Table1[[#This Row],[Required_Qty]]-Table1[[#This Row],[Available_Qty]]</f>
        <v>60</v>
      </c>
      <c r="K438" s="7">
        <v>-60</v>
      </c>
      <c r="L438" s="7">
        <f>IF(Table1[[#This Row],[Required_Qty]]&gt;Table1[[#This Row],[Available_Qty]],Table1[[#This Row],[Required_Qty]]-Table1[[#This Row],[Available_Qty]],0)</f>
        <v>60</v>
      </c>
      <c r="M438" s="7">
        <f>IF(Table1[[#This Row],[Required_Qty]]&lt;Table1[[#This Row],[Available_Qty]],Table1[[#This Row],[Available_Qty]]-Table1[[#This Row],[Required_Qty]],0)</f>
        <v>0</v>
      </c>
      <c r="N438">
        <v>52416</v>
      </c>
      <c r="O438" s="7">
        <f>IF(AND(Table1[[#This Row],[Clean_Shortage]]&gt;0,Table1[[#This Row],[Lead_Time_Days]]&gt;10),1,0)</f>
        <v>1</v>
      </c>
    </row>
    <row r="439" spans="1:15" hidden="1" x14ac:dyDescent="0.3">
      <c r="A439" t="s">
        <v>449</v>
      </c>
      <c r="B439" t="s">
        <v>513</v>
      </c>
      <c r="C439" t="s">
        <v>518</v>
      </c>
      <c r="D439">
        <v>76</v>
      </c>
      <c r="E439">
        <v>82</v>
      </c>
      <c r="F439">
        <v>73</v>
      </c>
      <c r="G439">
        <v>8710</v>
      </c>
      <c r="H439">
        <v>4</v>
      </c>
      <c r="I439" s="1">
        <v>45364</v>
      </c>
      <c r="J439" s="7">
        <f>Table1[[#This Row],[Required_Qty]]-Table1[[#This Row],[Available_Qty]]</f>
        <v>-6</v>
      </c>
      <c r="K439" s="7">
        <v>6</v>
      </c>
      <c r="L439" s="7">
        <f>IF(Table1[[#This Row],[Required_Qty]]&gt;Table1[[#This Row],[Available_Qty]],Table1[[#This Row],[Required_Qty]]-Table1[[#This Row],[Available_Qty]],0)</f>
        <v>0</v>
      </c>
      <c r="M439" s="7">
        <f>IF(Table1[[#This Row],[Required_Qty]]&lt;Table1[[#This Row],[Available_Qty]],Table1[[#This Row],[Available_Qty]]-Table1[[#This Row],[Required_Qty]],0)</f>
        <v>6</v>
      </c>
      <c r="N439">
        <v>635830</v>
      </c>
      <c r="O439" s="7">
        <f>IF(AND(Table1[[#This Row],[Clean_Shortage]]&gt;0,Table1[[#This Row],[Lead_Time_Days]]&gt;10),1,0)</f>
        <v>0</v>
      </c>
    </row>
    <row r="440" spans="1:15" x14ac:dyDescent="0.3">
      <c r="A440" t="s">
        <v>450</v>
      </c>
      <c r="B440" t="s">
        <v>512</v>
      </c>
      <c r="C440" t="s">
        <v>517</v>
      </c>
      <c r="D440">
        <v>97</v>
      </c>
      <c r="E440">
        <v>81</v>
      </c>
      <c r="F440">
        <v>38</v>
      </c>
      <c r="G440">
        <v>2619</v>
      </c>
      <c r="H440">
        <v>12</v>
      </c>
      <c r="I440" s="1">
        <v>45365</v>
      </c>
      <c r="J440" s="7">
        <f>Table1[[#This Row],[Required_Qty]]-Table1[[#This Row],[Available_Qty]]</f>
        <v>16</v>
      </c>
      <c r="K440" s="7">
        <v>-16</v>
      </c>
      <c r="L440" s="7">
        <f>IF(Table1[[#This Row],[Required_Qty]]&gt;Table1[[#This Row],[Available_Qty]],Table1[[#This Row],[Required_Qty]]-Table1[[#This Row],[Available_Qty]],0)</f>
        <v>16</v>
      </c>
      <c r="M440" s="7">
        <f>IF(Table1[[#This Row],[Required_Qty]]&lt;Table1[[#This Row],[Available_Qty]],Table1[[#This Row],[Available_Qty]]-Table1[[#This Row],[Required_Qty]],0)</f>
        <v>0</v>
      </c>
      <c r="N440">
        <v>99522</v>
      </c>
      <c r="O440" s="7">
        <f>IF(AND(Table1[[#This Row],[Clean_Shortage]]&gt;0,Table1[[#This Row],[Lead_Time_Days]]&gt;10),1,0)</f>
        <v>1</v>
      </c>
    </row>
    <row r="441" spans="1:15" hidden="1" x14ac:dyDescent="0.3">
      <c r="A441" t="s">
        <v>451</v>
      </c>
      <c r="B441" t="s">
        <v>512</v>
      </c>
      <c r="C441" t="s">
        <v>516</v>
      </c>
      <c r="D441">
        <v>96</v>
      </c>
      <c r="E441">
        <v>97</v>
      </c>
      <c r="F441">
        <v>12</v>
      </c>
      <c r="G441">
        <v>7868</v>
      </c>
      <c r="H441">
        <v>1</v>
      </c>
      <c r="I441" s="1">
        <v>45366</v>
      </c>
      <c r="J441" s="7">
        <f>Table1[[#This Row],[Required_Qty]]-Table1[[#This Row],[Available_Qty]]</f>
        <v>-1</v>
      </c>
      <c r="K441" s="7">
        <v>1</v>
      </c>
      <c r="L441" s="7">
        <f>IF(Table1[[#This Row],[Required_Qty]]&gt;Table1[[#This Row],[Available_Qty]],Table1[[#This Row],[Required_Qty]]-Table1[[#This Row],[Available_Qty]],0)</f>
        <v>0</v>
      </c>
      <c r="M441" s="7">
        <f>IF(Table1[[#This Row],[Required_Qty]]&lt;Table1[[#This Row],[Available_Qty]],Table1[[#This Row],[Available_Qty]]-Table1[[#This Row],[Required_Qty]],0)</f>
        <v>1</v>
      </c>
      <c r="N441">
        <v>94416</v>
      </c>
      <c r="O441" s="7">
        <f>IF(AND(Table1[[#This Row],[Clean_Shortage]]&gt;0,Table1[[#This Row],[Lead_Time_Days]]&gt;10),1,0)</f>
        <v>0</v>
      </c>
    </row>
    <row r="442" spans="1:15" hidden="1" x14ac:dyDescent="0.3">
      <c r="A442" t="s">
        <v>452</v>
      </c>
      <c r="B442" t="s">
        <v>514</v>
      </c>
      <c r="C442" t="s">
        <v>517</v>
      </c>
      <c r="D442">
        <v>68</v>
      </c>
      <c r="E442">
        <v>16</v>
      </c>
      <c r="F442">
        <v>30</v>
      </c>
      <c r="G442">
        <v>2431</v>
      </c>
      <c r="H442">
        <v>10</v>
      </c>
      <c r="I442" s="1">
        <v>45367</v>
      </c>
      <c r="J442" s="7">
        <f>Table1[[#This Row],[Required_Qty]]-Table1[[#This Row],[Available_Qty]]</f>
        <v>52</v>
      </c>
      <c r="K442" s="7">
        <v>-52</v>
      </c>
      <c r="L442" s="7">
        <f>IF(Table1[[#This Row],[Required_Qty]]&gt;Table1[[#This Row],[Available_Qty]],Table1[[#This Row],[Required_Qty]]-Table1[[#This Row],[Available_Qty]],0)</f>
        <v>52</v>
      </c>
      <c r="M442" s="7">
        <f>IF(Table1[[#This Row],[Required_Qty]]&lt;Table1[[#This Row],[Available_Qty]],Table1[[#This Row],[Available_Qty]]-Table1[[#This Row],[Required_Qty]],0)</f>
        <v>0</v>
      </c>
      <c r="N442">
        <v>72930</v>
      </c>
      <c r="O442" s="7">
        <f>IF(AND(Table1[[#This Row],[Clean_Shortage]]&gt;0,Table1[[#This Row],[Lead_Time_Days]]&gt;10),1,0)</f>
        <v>0</v>
      </c>
    </row>
    <row r="443" spans="1:15" hidden="1" x14ac:dyDescent="0.3">
      <c r="A443" t="s">
        <v>453</v>
      </c>
      <c r="B443" t="s">
        <v>513</v>
      </c>
      <c r="C443" t="s">
        <v>517</v>
      </c>
      <c r="D443">
        <v>81</v>
      </c>
      <c r="E443">
        <v>43</v>
      </c>
      <c r="F443">
        <v>70</v>
      </c>
      <c r="G443">
        <v>5713</v>
      </c>
      <c r="H443">
        <v>7</v>
      </c>
      <c r="I443" s="1">
        <v>45368</v>
      </c>
      <c r="J443" s="7">
        <f>Table1[[#This Row],[Required_Qty]]-Table1[[#This Row],[Available_Qty]]</f>
        <v>38</v>
      </c>
      <c r="K443" s="7">
        <v>-38</v>
      </c>
      <c r="L443" s="7">
        <f>IF(Table1[[#This Row],[Required_Qty]]&gt;Table1[[#This Row],[Available_Qty]],Table1[[#This Row],[Required_Qty]]-Table1[[#This Row],[Available_Qty]],0)</f>
        <v>38</v>
      </c>
      <c r="M443" s="7">
        <f>IF(Table1[[#This Row],[Required_Qty]]&lt;Table1[[#This Row],[Available_Qty]],Table1[[#This Row],[Available_Qty]]-Table1[[#This Row],[Required_Qty]],0)</f>
        <v>0</v>
      </c>
      <c r="N443">
        <v>399910</v>
      </c>
      <c r="O443" s="7">
        <f>IF(AND(Table1[[#This Row],[Clean_Shortage]]&gt;0,Table1[[#This Row],[Lead_Time_Days]]&gt;10),1,0)</f>
        <v>0</v>
      </c>
    </row>
    <row r="444" spans="1:15" hidden="1" x14ac:dyDescent="0.3">
      <c r="A444" t="s">
        <v>454</v>
      </c>
      <c r="B444" t="s">
        <v>514</v>
      </c>
      <c r="C444" t="s">
        <v>518</v>
      </c>
      <c r="D444">
        <v>63</v>
      </c>
      <c r="E444">
        <v>70</v>
      </c>
      <c r="F444">
        <v>62</v>
      </c>
      <c r="G444">
        <v>5998</v>
      </c>
      <c r="H444">
        <v>5</v>
      </c>
      <c r="I444" s="1">
        <v>45369</v>
      </c>
      <c r="J444" s="7">
        <f>Table1[[#This Row],[Required_Qty]]-Table1[[#This Row],[Available_Qty]]</f>
        <v>-7</v>
      </c>
      <c r="K444" s="7">
        <v>7</v>
      </c>
      <c r="L444" s="7">
        <f>IF(Table1[[#This Row],[Required_Qty]]&gt;Table1[[#This Row],[Available_Qty]],Table1[[#This Row],[Required_Qty]]-Table1[[#This Row],[Available_Qty]],0)</f>
        <v>0</v>
      </c>
      <c r="M444" s="7">
        <f>IF(Table1[[#This Row],[Required_Qty]]&lt;Table1[[#This Row],[Available_Qty]],Table1[[#This Row],[Available_Qty]]-Table1[[#This Row],[Required_Qty]],0)</f>
        <v>7</v>
      </c>
      <c r="N444">
        <v>371876</v>
      </c>
      <c r="O444" s="7">
        <f>IF(AND(Table1[[#This Row],[Clean_Shortage]]&gt;0,Table1[[#This Row],[Lead_Time_Days]]&gt;10),1,0)</f>
        <v>0</v>
      </c>
    </row>
    <row r="445" spans="1:15" hidden="1" x14ac:dyDescent="0.3">
      <c r="A445" t="s">
        <v>455</v>
      </c>
      <c r="B445" t="s">
        <v>513</v>
      </c>
      <c r="C445" t="s">
        <v>517</v>
      </c>
      <c r="D445">
        <v>76</v>
      </c>
      <c r="E445">
        <v>100</v>
      </c>
      <c r="F445">
        <v>55</v>
      </c>
      <c r="G445">
        <v>1162</v>
      </c>
      <c r="H445">
        <v>5</v>
      </c>
      <c r="I445" s="1">
        <v>45370</v>
      </c>
      <c r="J445" s="7">
        <f>Table1[[#This Row],[Required_Qty]]-Table1[[#This Row],[Available_Qty]]</f>
        <v>-24</v>
      </c>
      <c r="K445" s="7">
        <v>24</v>
      </c>
      <c r="L445" s="7">
        <f>IF(Table1[[#This Row],[Required_Qty]]&gt;Table1[[#This Row],[Available_Qty]],Table1[[#This Row],[Required_Qty]]-Table1[[#This Row],[Available_Qty]],0)</f>
        <v>0</v>
      </c>
      <c r="M445" s="7">
        <f>IF(Table1[[#This Row],[Required_Qty]]&lt;Table1[[#This Row],[Available_Qty]],Table1[[#This Row],[Available_Qty]]-Table1[[#This Row],[Required_Qty]],0)</f>
        <v>24</v>
      </c>
      <c r="N445">
        <v>63910</v>
      </c>
      <c r="O445" s="7">
        <f>IF(AND(Table1[[#This Row],[Clean_Shortage]]&gt;0,Table1[[#This Row],[Lead_Time_Days]]&gt;10),1,0)</f>
        <v>0</v>
      </c>
    </row>
    <row r="446" spans="1:15" hidden="1" x14ac:dyDescent="0.3">
      <c r="A446" t="s">
        <v>456</v>
      </c>
      <c r="B446" t="s">
        <v>513</v>
      </c>
      <c r="C446" t="s">
        <v>517</v>
      </c>
      <c r="D446">
        <v>60</v>
      </c>
      <c r="E446">
        <v>17</v>
      </c>
      <c r="F446">
        <v>41</v>
      </c>
      <c r="G446">
        <v>2974</v>
      </c>
      <c r="H446">
        <v>1</v>
      </c>
      <c r="I446" s="1">
        <v>45371</v>
      </c>
      <c r="J446" s="7">
        <f>Table1[[#This Row],[Required_Qty]]-Table1[[#This Row],[Available_Qty]]</f>
        <v>43</v>
      </c>
      <c r="K446" s="7">
        <v>-43</v>
      </c>
      <c r="L446" s="7">
        <f>IF(Table1[[#This Row],[Required_Qty]]&gt;Table1[[#This Row],[Available_Qty]],Table1[[#This Row],[Required_Qty]]-Table1[[#This Row],[Available_Qty]],0)</f>
        <v>43</v>
      </c>
      <c r="M446" s="7">
        <f>IF(Table1[[#This Row],[Required_Qty]]&lt;Table1[[#This Row],[Available_Qty]],Table1[[#This Row],[Available_Qty]]-Table1[[#This Row],[Required_Qty]],0)</f>
        <v>0</v>
      </c>
      <c r="N446">
        <v>121934</v>
      </c>
      <c r="O446" s="7">
        <f>IF(AND(Table1[[#This Row],[Clean_Shortage]]&gt;0,Table1[[#This Row],[Lead_Time_Days]]&gt;10),1,0)</f>
        <v>0</v>
      </c>
    </row>
    <row r="447" spans="1:15" hidden="1" x14ac:dyDescent="0.3">
      <c r="A447" t="s">
        <v>457</v>
      </c>
      <c r="B447" t="s">
        <v>512</v>
      </c>
      <c r="C447" t="s">
        <v>518</v>
      </c>
      <c r="D447">
        <v>17</v>
      </c>
      <c r="E447">
        <v>50</v>
      </c>
      <c r="F447">
        <v>60</v>
      </c>
      <c r="G447">
        <v>4291</v>
      </c>
      <c r="H447">
        <v>14</v>
      </c>
      <c r="I447" s="1">
        <v>45372</v>
      </c>
      <c r="J447" s="7">
        <f>Table1[[#This Row],[Required_Qty]]-Table1[[#This Row],[Available_Qty]]</f>
        <v>-33</v>
      </c>
      <c r="K447" s="7">
        <v>33</v>
      </c>
      <c r="L447" s="7">
        <f>IF(Table1[[#This Row],[Required_Qty]]&gt;Table1[[#This Row],[Available_Qty]],Table1[[#This Row],[Required_Qty]]-Table1[[#This Row],[Available_Qty]],0)</f>
        <v>0</v>
      </c>
      <c r="M447" s="7">
        <f>IF(Table1[[#This Row],[Required_Qty]]&lt;Table1[[#This Row],[Available_Qty]],Table1[[#This Row],[Available_Qty]]-Table1[[#This Row],[Required_Qty]],0)</f>
        <v>33</v>
      </c>
      <c r="N447">
        <v>257460</v>
      </c>
      <c r="O447" s="7">
        <f>IF(AND(Table1[[#This Row],[Clean_Shortage]]&gt;0,Table1[[#This Row],[Lead_Time_Days]]&gt;10),1,0)</f>
        <v>0</v>
      </c>
    </row>
    <row r="448" spans="1:15" hidden="1" x14ac:dyDescent="0.3">
      <c r="A448" t="s">
        <v>458</v>
      </c>
      <c r="B448" t="s">
        <v>512</v>
      </c>
      <c r="C448" t="s">
        <v>516</v>
      </c>
      <c r="D448">
        <v>43</v>
      </c>
      <c r="E448">
        <v>31</v>
      </c>
      <c r="F448">
        <v>41</v>
      </c>
      <c r="G448">
        <v>9461</v>
      </c>
      <c r="H448">
        <v>10</v>
      </c>
      <c r="I448" s="1">
        <v>45373</v>
      </c>
      <c r="J448" s="7">
        <f>Table1[[#This Row],[Required_Qty]]-Table1[[#This Row],[Available_Qty]]</f>
        <v>12</v>
      </c>
      <c r="K448" s="7">
        <v>-12</v>
      </c>
      <c r="L448" s="7">
        <f>IF(Table1[[#This Row],[Required_Qty]]&gt;Table1[[#This Row],[Available_Qty]],Table1[[#This Row],[Required_Qty]]-Table1[[#This Row],[Available_Qty]],0)</f>
        <v>12</v>
      </c>
      <c r="M448" s="7">
        <f>IF(Table1[[#This Row],[Required_Qty]]&lt;Table1[[#This Row],[Available_Qty]],Table1[[#This Row],[Available_Qty]]-Table1[[#This Row],[Required_Qty]],0)</f>
        <v>0</v>
      </c>
      <c r="N448">
        <v>387901</v>
      </c>
      <c r="O448" s="7">
        <f>IF(AND(Table1[[#This Row],[Clean_Shortage]]&gt;0,Table1[[#This Row],[Lead_Time_Days]]&gt;10),1,0)</f>
        <v>0</v>
      </c>
    </row>
    <row r="449" spans="1:15" hidden="1" x14ac:dyDescent="0.3">
      <c r="A449" t="s">
        <v>459</v>
      </c>
      <c r="B449" t="s">
        <v>515</v>
      </c>
      <c r="C449" t="s">
        <v>516</v>
      </c>
      <c r="D449">
        <v>44</v>
      </c>
      <c r="E449">
        <v>117</v>
      </c>
      <c r="F449">
        <v>55</v>
      </c>
      <c r="G449">
        <v>1631</v>
      </c>
      <c r="H449">
        <v>11</v>
      </c>
      <c r="I449" s="1">
        <v>45374</v>
      </c>
      <c r="J449" s="7">
        <f>Table1[[#This Row],[Required_Qty]]-Table1[[#This Row],[Available_Qty]]</f>
        <v>-73</v>
      </c>
      <c r="K449" s="7">
        <v>73</v>
      </c>
      <c r="L449" s="7">
        <f>IF(Table1[[#This Row],[Required_Qty]]&gt;Table1[[#This Row],[Available_Qty]],Table1[[#This Row],[Required_Qty]]-Table1[[#This Row],[Available_Qty]],0)</f>
        <v>0</v>
      </c>
      <c r="M449" s="7">
        <f>IF(Table1[[#This Row],[Required_Qty]]&lt;Table1[[#This Row],[Available_Qty]],Table1[[#This Row],[Available_Qty]]-Table1[[#This Row],[Required_Qty]],0)</f>
        <v>73</v>
      </c>
      <c r="N449">
        <v>89705</v>
      </c>
      <c r="O449" s="7">
        <f>IF(AND(Table1[[#This Row],[Clean_Shortage]]&gt;0,Table1[[#This Row],[Lead_Time_Days]]&gt;10),1,0)</f>
        <v>0</v>
      </c>
    </row>
    <row r="450" spans="1:15" hidden="1" x14ac:dyDescent="0.3">
      <c r="A450" t="s">
        <v>460</v>
      </c>
      <c r="B450" t="s">
        <v>512</v>
      </c>
      <c r="C450" t="s">
        <v>518</v>
      </c>
      <c r="D450">
        <v>97</v>
      </c>
      <c r="E450">
        <v>109</v>
      </c>
      <c r="F450">
        <v>35</v>
      </c>
      <c r="G450">
        <v>1905</v>
      </c>
      <c r="H450">
        <v>6</v>
      </c>
      <c r="I450" s="1">
        <v>45375</v>
      </c>
      <c r="J450" s="7">
        <f>Table1[[#This Row],[Required_Qty]]-Table1[[#This Row],[Available_Qty]]</f>
        <v>-12</v>
      </c>
      <c r="K450" s="7">
        <v>12</v>
      </c>
      <c r="L450" s="7">
        <f>IF(Table1[[#This Row],[Required_Qty]]&gt;Table1[[#This Row],[Available_Qty]],Table1[[#This Row],[Required_Qty]]-Table1[[#This Row],[Available_Qty]],0)</f>
        <v>0</v>
      </c>
      <c r="M450" s="7">
        <f>IF(Table1[[#This Row],[Required_Qty]]&lt;Table1[[#This Row],[Available_Qty]],Table1[[#This Row],[Available_Qty]]-Table1[[#This Row],[Required_Qty]],0)</f>
        <v>12</v>
      </c>
      <c r="N450">
        <v>66675</v>
      </c>
      <c r="O450" s="7">
        <f>IF(AND(Table1[[#This Row],[Clean_Shortage]]&gt;0,Table1[[#This Row],[Lead_Time_Days]]&gt;10),1,0)</f>
        <v>0</v>
      </c>
    </row>
    <row r="451" spans="1:15" x14ac:dyDescent="0.3">
      <c r="A451" t="s">
        <v>461</v>
      </c>
      <c r="B451" t="s">
        <v>515</v>
      </c>
      <c r="C451" t="s">
        <v>518</v>
      </c>
      <c r="D451">
        <v>87</v>
      </c>
      <c r="E451">
        <v>21</v>
      </c>
      <c r="F451">
        <v>67</v>
      </c>
      <c r="G451">
        <v>3014</v>
      </c>
      <c r="H451">
        <v>14</v>
      </c>
      <c r="I451" s="1">
        <v>45376</v>
      </c>
      <c r="J451" s="7">
        <f>Table1[[#This Row],[Required_Qty]]-Table1[[#This Row],[Available_Qty]]</f>
        <v>66</v>
      </c>
      <c r="K451" s="7">
        <v>-66</v>
      </c>
      <c r="L451" s="7">
        <f>IF(Table1[[#This Row],[Required_Qty]]&gt;Table1[[#This Row],[Available_Qty]],Table1[[#This Row],[Required_Qty]]-Table1[[#This Row],[Available_Qty]],0)</f>
        <v>66</v>
      </c>
      <c r="M451" s="7">
        <f>IF(Table1[[#This Row],[Required_Qty]]&lt;Table1[[#This Row],[Available_Qty]],Table1[[#This Row],[Available_Qty]]-Table1[[#This Row],[Required_Qty]],0)</f>
        <v>0</v>
      </c>
      <c r="N451">
        <v>201938</v>
      </c>
      <c r="O451" s="7">
        <f>IF(AND(Table1[[#This Row],[Clean_Shortage]]&gt;0,Table1[[#This Row],[Lead_Time_Days]]&gt;10),1,0)</f>
        <v>1</v>
      </c>
    </row>
    <row r="452" spans="1:15" hidden="1" x14ac:dyDescent="0.3">
      <c r="A452" t="s">
        <v>462</v>
      </c>
      <c r="B452" t="s">
        <v>515</v>
      </c>
      <c r="C452" t="s">
        <v>518</v>
      </c>
      <c r="D452">
        <v>41</v>
      </c>
      <c r="E452">
        <v>108</v>
      </c>
      <c r="F452">
        <v>6</v>
      </c>
      <c r="G452">
        <v>8896</v>
      </c>
      <c r="H452">
        <v>9</v>
      </c>
      <c r="I452" s="1">
        <v>45377</v>
      </c>
      <c r="J452" s="7">
        <f>Table1[[#This Row],[Required_Qty]]-Table1[[#This Row],[Available_Qty]]</f>
        <v>-67</v>
      </c>
      <c r="K452" s="7">
        <v>67</v>
      </c>
      <c r="L452" s="7">
        <f>IF(Table1[[#This Row],[Required_Qty]]&gt;Table1[[#This Row],[Available_Qty]],Table1[[#This Row],[Required_Qty]]-Table1[[#This Row],[Available_Qty]],0)</f>
        <v>0</v>
      </c>
      <c r="M452" s="7">
        <f>IF(Table1[[#This Row],[Required_Qty]]&lt;Table1[[#This Row],[Available_Qty]],Table1[[#This Row],[Available_Qty]]-Table1[[#This Row],[Required_Qty]],0)</f>
        <v>67</v>
      </c>
      <c r="N452">
        <v>53376</v>
      </c>
      <c r="O452" s="7">
        <f>IF(AND(Table1[[#This Row],[Clean_Shortage]]&gt;0,Table1[[#This Row],[Lead_Time_Days]]&gt;10),1,0)</f>
        <v>0</v>
      </c>
    </row>
    <row r="453" spans="1:15" hidden="1" x14ac:dyDescent="0.3">
      <c r="A453" t="s">
        <v>463</v>
      </c>
      <c r="B453" t="s">
        <v>515</v>
      </c>
      <c r="C453" t="s">
        <v>518</v>
      </c>
      <c r="D453">
        <v>55</v>
      </c>
      <c r="E453">
        <v>99</v>
      </c>
      <c r="F453">
        <v>53</v>
      </c>
      <c r="G453">
        <v>1204</v>
      </c>
      <c r="H453">
        <v>9</v>
      </c>
      <c r="I453" s="1">
        <v>45378</v>
      </c>
      <c r="J453" s="7">
        <f>Table1[[#This Row],[Required_Qty]]-Table1[[#This Row],[Available_Qty]]</f>
        <v>-44</v>
      </c>
      <c r="K453" s="7">
        <v>44</v>
      </c>
      <c r="L453" s="7">
        <f>IF(Table1[[#This Row],[Required_Qty]]&gt;Table1[[#This Row],[Available_Qty]],Table1[[#This Row],[Required_Qty]]-Table1[[#This Row],[Available_Qty]],0)</f>
        <v>0</v>
      </c>
      <c r="M453" s="7">
        <f>IF(Table1[[#This Row],[Required_Qty]]&lt;Table1[[#This Row],[Available_Qty]],Table1[[#This Row],[Available_Qty]]-Table1[[#This Row],[Required_Qty]],0)</f>
        <v>44</v>
      </c>
      <c r="N453">
        <v>63812</v>
      </c>
      <c r="O453" s="7">
        <f>IF(AND(Table1[[#This Row],[Clean_Shortage]]&gt;0,Table1[[#This Row],[Lead_Time_Days]]&gt;10),1,0)</f>
        <v>0</v>
      </c>
    </row>
    <row r="454" spans="1:15" hidden="1" x14ac:dyDescent="0.3">
      <c r="A454" t="s">
        <v>464</v>
      </c>
      <c r="B454" t="s">
        <v>515</v>
      </c>
      <c r="C454" t="s">
        <v>518</v>
      </c>
      <c r="D454">
        <v>25</v>
      </c>
      <c r="E454">
        <v>102</v>
      </c>
      <c r="F454">
        <v>0</v>
      </c>
      <c r="G454">
        <v>1581</v>
      </c>
      <c r="H454">
        <v>8</v>
      </c>
      <c r="I454" s="1">
        <v>45379</v>
      </c>
      <c r="J454" s="7">
        <f>Table1[[#This Row],[Required_Qty]]-Table1[[#This Row],[Available_Qty]]</f>
        <v>-77</v>
      </c>
      <c r="K454" s="7">
        <v>77</v>
      </c>
      <c r="L454" s="7">
        <f>IF(Table1[[#This Row],[Required_Qty]]&gt;Table1[[#This Row],[Available_Qty]],Table1[[#This Row],[Required_Qty]]-Table1[[#This Row],[Available_Qty]],0)</f>
        <v>0</v>
      </c>
      <c r="M454" s="7">
        <f>IF(Table1[[#This Row],[Required_Qty]]&lt;Table1[[#This Row],[Available_Qty]],Table1[[#This Row],[Available_Qty]]-Table1[[#This Row],[Required_Qty]],0)</f>
        <v>77</v>
      </c>
      <c r="N454">
        <v>0</v>
      </c>
      <c r="O454" s="7">
        <f>IF(AND(Table1[[#This Row],[Clean_Shortage]]&gt;0,Table1[[#This Row],[Lead_Time_Days]]&gt;10),1,0)</f>
        <v>0</v>
      </c>
    </row>
    <row r="455" spans="1:15" hidden="1" x14ac:dyDescent="0.3">
      <c r="A455" t="s">
        <v>465</v>
      </c>
      <c r="B455" t="s">
        <v>515</v>
      </c>
      <c r="C455" t="s">
        <v>516</v>
      </c>
      <c r="D455">
        <v>77</v>
      </c>
      <c r="E455">
        <v>64</v>
      </c>
      <c r="F455">
        <v>43</v>
      </c>
      <c r="G455">
        <v>6675</v>
      </c>
      <c r="H455">
        <v>5</v>
      </c>
      <c r="I455" s="1">
        <v>45380</v>
      </c>
      <c r="J455" s="7">
        <f>Table1[[#This Row],[Required_Qty]]-Table1[[#This Row],[Available_Qty]]</f>
        <v>13</v>
      </c>
      <c r="K455" s="7">
        <v>-13</v>
      </c>
      <c r="L455" s="7">
        <f>IF(Table1[[#This Row],[Required_Qty]]&gt;Table1[[#This Row],[Available_Qty]],Table1[[#This Row],[Required_Qty]]-Table1[[#This Row],[Available_Qty]],0)</f>
        <v>13</v>
      </c>
      <c r="M455" s="7">
        <f>IF(Table1[[#This Row],[Required_Qty]]&lt;Table1[[#This Row],[Available_Qty]],Table1[[#This Row],[Available_Qty]]-Table1[[#This Row],[Required_Qty]],0)</f>
        <v>0</v>
      </c>
      <c r="N455">
        <v>287025</v>
      </c>
      <c r="O455" s="7">
        <f>IF(AND(Table1[[#This Row],[Clean_Shortage]]&gt;0,Table1[[#This Row],[Lead_Time_Days]]&gt;10),1,0)</f>
        <v>0</v>
      </c>
    </row>
    <row r="456" spans="1:15" hidden="1" x14ac:dyDescent="0.3">
      <c r="A456" t="s">
        <v>466</v>
      </c>
      <c r="B456" t="s">
        <v>514</v>
      </c>
      <c r="C456" t="s">
        <v>516</v>
      </c>
      <c r="D456">
        <v>46</v>
      </c>
      <c r="E456">
        <v>68</v>
      </c>
      <c r="F456">
        <v>44</v>
      </c>
      <c r="G456">
        <v>6347</v>
      </c>
      <c r="H456">
        <v>1</v>
      </c>
      <c r="I456" s="1">
        <v>45381</v>
      </c>
      <c r="J456" s="7">
        <f>Table1[[#This Row],[Required_Qty]]-Table1[[#This Row],[Available_Qty]]</f>
        <v>-22</v>
      </c>
      <c r="K456" s="7">
        <v>22</v>
      </c>
      <c r="L456" s="7">
        <f>IF(Table1[[#This Row],[Required_Qty]]&gt;Table1[[#This Row],[Available_Qty]],Table1[[#This Row],[Required_Qty]]-Table1[[#This Row],[Available_Qty]],0)</f>
        <v>0</v>
      </c>
      <c r="M456" s="7">
        <f>IF(Table1[[#This Row],[Required_Qty]]&lt;Table1[[#This Row],[Available_Qty]],Table1[[#This Row],[Available_Qty]]-Table1[[#This Row],[Required_Qty]],0)</f>
        <v>22</v>
      </c>
      <c r="N456">
        <v>279268</v>
      </c>
      <c r="O456" s="7">
        <f>IF(AND(Table1[[#This Row],[Clean_Shortage]]&gt;0,Table1[[#This Row],[Lead_Time_Days]]&gt;10),1,0)</f>
        <v>0</v>
      </c>
    </row>
    <row r="457" spans="1:15" hidden="1" x14ac:dyDescent="0.3">
      <c r="A457" t="s">
        <v>467</v>
      </c>
      <c r="B457" t="s">
        <v>512</v>
      </c>
      <c r="C457" t="s">
        <v>518</v>
      </c>
      <c r="D457">
        <v>63</v>
      </c>
      <c r="E457">
        <v>92</v>
      </c>
      <c r="F457">
        <v>46</v>
      </c>
      <c r="G457">
        <v>3643</v>
      </c>
      <c r="H457">
        <v>9</v>
      </c>
      <c r="I457" s="1">
        <v>45382</v>
      </c>
      <c r="J457" s="7">
        <f>Table1[[#This Row],[Required_Qty]]-Table1[[#This Row],[Available_Qty]]</f>
        <v>-29</v>
      </c>
      <c r="K457" s="7">
        <v>29</v>
      </c>
      <c r="L457" s="7">
        <f>IF(Table1[[#This Row],[Required_Qty]]&gt;Table1[[#This Row],[Available_Qty]],Table1[[#This Row],[Required_Qty]]-Table1[[#This Row],[Available_Qty]],0)</f>
        <v>0</v>
      </c>
      <c r="M457" s="7">
        <f>IF(Table1[[#This Row],[Required_Qty]]&lt;Table1[[#This Row],[Available_Qty]],Table1[[#This Row],[Available_Qty]]-Table1[[#This Row],[Required_Qty]],0)</f>
        <v>29</v>
      </c>
      <c r="N457">
        <v>167578</v>
      </c>
      <c r="O457" s="7">
        <f>IF(AND(Table1[[#This Row],[Clean_Shortage]]&gt;0,Table1[[#This Row],[Lead_Time_Days]]&gt;10),1,0)</f>
        <v>0</v>
      </c>
    </row>
    <row r="458" spans="1:15" hidden="1" x14ac:dyDescent="0.3">
      <c r="A458" t="s">
        <v>468</v>
      </c>
      <c r="B458" t="s">
        <v>515</v>
      </c>
      <c r="C458" t="s">
        <v>517</v>
      </c>
      <c r="D458">
        <v>94</v>
      </c>
      <c r="E458">
        <v>113</v>
      </c>
      <c r="F458">
        <v>12</v>
      </c>
      <c r="G458">
        <v>9017</v>
      </c>
      <c r="H458">
        <v>1</v>
      </c>
      <c r="I458" s="1">
        <v>45383</v>
      </c>
      <c r="J458" s="7">
        <f>Table1[[#This Row],[Required_Qty]]-Table1[[#This Row],[Available_Qty]]</f>
        <v>-19</v>
      </c>
      <c r="K458" s="7">
        <v>19</v>
      </c>
      <c r="L458" s="7">
        <f>IF(Table1[[#This Row],[Required_Qty]]&gt;Table1[[#This Row],[Available_Qty]],Table1[[#This Row],[Required_Qty]]-Table1[[#This Row],[Available_Qty]],0)</f>
        <v>0</v>
      </c>
      <c r="M458" s="7">
        <f>IF(Table1[[#This Row],[Required_Qty]]&lt;Table1[[#This Row],[Available_Qty]],Table1[[#This Row],[Available_Qty]]-Table1[[#This Row],[Required_Qty]],0)</f>
        <v>19</v>
      </c>
      <c r="N458">
        <v>108204</v>
      </c>
      <c r="O458" s="7">
        <f>IF(AND(Table1[[#This Row],[Clean_Shortage]]&gt;0,Table1[[#This Row],[Lead_Time_Days]]&gt;10),1,0)</f>
        <v>0</v>
      </c>
    </row>
    <row r="459" spans="1:15" hidden="1" x14ac:dyDescent="0.3">
      <c r="A459" t="s">
        <v>469</v>
      </c>
      <c r="B459" t="s">
        <v>513</v>
      </c>
      <c r="C459" t="s">
        <v>518</v>
      </c>
      <c r="D459">
        <v>23</v>
      </c>
      <c r="E459">
        <v>39</v>
      </c>
      <c r="F459">
        <v>21</v>
      </c>
      <c r="G459">
        <v>3297</v>
      </c>
      <c r="H459">
        <v>8</v>
      </c>
      <c r="I459" s="1">
        <v>45384</v>
      </c>
      <c r="J459" s="7">
        <f>Table1[[#This Row],[Required_Qty]]-Table1[[#This Row],[Available_Qty]]</f>
        <v>-16</v>
      </c>
      <c r="K459" s="7">
        <v>16</v>
      </c>
      <c r="L459" s="7">
        <f>IF(Table1[[#This Row],[Required_Qty]]&gt;Table1[[#This Row],[Available_Qty]],Table1[[#This Row],[Required_Qty]]-Table1[[#This Row],[Available_Qty]],0)</f>
        <v>0</v>
      </c>
      <c r="M459" s="7">
        <f>IF(Table1[[#This Row],[Required_Qty]]&lt;Table1[[#This Row],[Available_Qty]],Table1[[#This Row],[Available_Qty]]-Table1[[#This Row],[Required_Qty]],0)</f>
        <v>16</v>
      </c>
      <c r="N459">
        <v>69237</v>
      </c>
      <c r="O459" s="7">
        <f>IF(AND(Table1[[#This Row],[Clean_Shortage]]&gt;0,Table1[[#This Row],[Lead_Time_Days]]&gt;10),1,0)</f>
        <v>0</v>
      </c>
    </row>
    <row r="460" spans="1:15" hidden="1" x14ac:dyDescent="0.3">
      <c r="A460" t="s">
        <v>470</v>
      </c>
      <c r="B460" t="s">
        <v>512</v>
      </c>
      <c r="C460" t="s">
        <v>517</v>
      </c>
      <c r="D460">
        <v>64</v>
      </c>
      <c r="E460">
        <v>116</v>
      </c>
      <c r="F460">
        <v>20</v>
      </c>
      <c r="G460">
        <v>1874</v>
      </c>
      <c r="H460">
        <v>5</v>
      </c>
      <c r="I460" s="1">
        <v>45385</v>
      </c>
      <c r="J460" s="7">
        <f>Table1[[#This Row],[Required_Qty]]-Table1[[#This Row],[Available_Qty]]</f>
        <v>-52</v>
      </c>
      <c r="K460" s="7">
        <v>52</v>
      </c>
      <c r="L460" s="7">
        <f>IF(Table1[[#This Row],[Required_Qty]]&gt;Table1[[#This Row],[Available_Qty]],Table1[[#This Row],[Required_Qty]]-Table1[[#This Row],[Available_Qty]],0)</f>
        <v>0</v>
      </c>
      <c r="M460" s="7">
        <f>IF(Table1[[#This Row],[Required_Qty]]&lt;Table1[[#This Row],[Available_Qty]],Table1[[#This Row],[Available_Qty]]-Table1[[#This Row],[Required_Qty]],0)</f>
        <v>52</v>
      </c>
      <c r="N460">
        <v>37480</v>
      </c>
      <c r="O460" s="7">
        <f>IF(AND(Table1[[#This Row],[Clean_Shortage]]&gt;0,Table1[[#This Row],[Lead_Time_Days]]&gt;10),1,0)</f>
        <v>0</v>
      </c>
    </row>
    <row r="461" spans="1:15" hidden="1" x14ac:dyDescent="0.3">
      <c r="A461" t="s">
        <v>471</v>
      </c>
      <c r="B461" t="s">
        <v>512</v>
      </c>
      <c r="C461" t="s">
        <v>518</v>
      </c>
      <c r="D461">
        <v>57</v>
      </c>
      <c r="E461">
        <v>74</v>
      </c>
      <c r="F461">
        <v>8</v>
      </c>
      <c r="G461">
        <v>6560</v>
      </c>
      <c r="H461">
        <v>3</v>
      </c>
      <c r="I461" s="1">
        <v>45386</v>
      </c>
      <c r="J461" s="7">
        <f>Table1[[#This Row],[Required_Qty]]-Table1[[#This Row],[Available_Qty]]</f>
        <v>-17</v>
      </c>
      <c r="K461" s="7">
        <v>17</v>
      </c>
      <c r="L461" s="7">
        <f>IF(Table1[[#This Row],[Required_Qty]]&gt;Table1[[#This Row],[Available_Qty]],Table1[[#This Row],[Required_Qty]]-Table1[[#This Row],[Available_Qty]],0)</f>
        <v>0</v>
      </c>
      <c r="M461" s="7">
        <f>IF(Table1[[#This Row],[Required_Qty]]&lt;Table1[[#This Row],[Available_Qty]],Table1[[#This Row],[Available_Qty]]-Table1[[#This Row],[Required_Qty]],0)</f>
        <v>17</v>
      </c>
      <c r="N461">
        <v>52480</v>
      </c>
      <c r="O461" s="7">
        <f>IF(AND(Table1[[#This Row],[Clean_Shortage]]&gt;0,Table1[[#This Row],[Lead_Time_Days]]&gt;10),1,0)</f>
        <v>0</v>
      </c>
    </row>
    <row r="462" spans="1:15" x14ac:dyDescent="0.3">
      <c r="A462" t="s">
        <v>472</v>
      </c>
      <c r="B462" t="s">
        <v>515</v>
      </c>
      <c r="C462" t="s">
        <v>518</v>
      </c>
      <c r="D462">
        <v>91</v>
      </c>
      <c r="E462">
        <v>87</v>
      </c>
      <c r="F462">
        <v>25</v>
      </c>
      <c r="G462">
        <v>1689</v>
      </c>
      <c r="H462">
        <v>11</v>
      </c>
      <c r="I462" s="1">
        <v>45387</v>
      </c>
      <c r="J462" s="7">
        <f>Table1[[#This Row],[Required_Qty]]-Table1[[#This Row],[Available_Qty]]</f>
        <v>4</v>
      </c>
      <c r="K462" s="7">
        <v>-4</v>
      </c>
      <c r="L462" s="7">
        <f>IF(Table1[[#This Row],[Required_Qty]]&gt;Table1[[#This Row],[Available_Qty]],Table1[[#This Row],[Required_Qty]]-Table1[[#This Row],[Available_Qty]],0)</f>
        <v>4</v>
      </c>
      <c r="M462" s="7">
        <f>IF(Table1[[#This Row],[Required_Qty]]&lt;Table1[[#This Row],[Available_Qty]],Table1[[#This Row],[Available_Qty]]-Table1[[#This Row],[Required_Qty]],0)</f>
        <v>0</v>
      </c>
      <c r="N462">
        <v>42225</v>
      </c>
      <c r="O462" s="7">
        <f>IF(AND(Table1[[#This Row],[Clean_Shortage]]&gt;0,Table1[[#This Row],[Lead_Time_Days]]&gt;10),1,0)</f>
        <v>1</v>
      </c>
    </row>
    <row r="463" spans="1:15" hidden="1" x14ac:dyDescent="0.3">
      <c r="A463" t="s">
        <v>473</v>
      </c>
      <c r="B463" t="s">
        <v>514</v>
      </c>
      <c r="C463" t="s">
        <v>516</v>
      </c>
      <c r="D463">
        <v>16</v>
      </c>
      <c r="E463">
        <v>34</v>
      </c>
      <c r="F463">
        <v>8</v>
      </c>
      <c r="G463">
        <v>5000</v>
      </c>
      <c r="H463">
        <v>7</v>
      </c>
      <c r="I463" s="1">
        <v>45388</v>
      </c>
      <c r="J463" s="7">
        <f>Table1[[#This Row],[Required_Qty]]-Table1[[#This Row],[Available_Qty]]</f>
        <v>-18</v>
      </c>
      <c r="K463" s="7">
        <v>18</v>
      </c>
      <c r="L463" s="7">
        <f>IF(Table1[[#This Row],[Required_Qty]]&gt;Table1[[#This Row],[Available_Qty]],Table1[[#This Row],[Required_Qty]]-Table1[[#This Row],[Available_Qty]],0)</f>
        <v>0</v>
      </c>
      <c r="M463" s="7">
        <f>IF(Table1[[#This Row],[Required_Qty]]&lt;Table1[[#This Row],[Available_Qty]],Table1[[#This Row],[Available_Qty]]-Table1[[#This Row],[Required_Qty]],0)</f>
        <v>18</v>
      </c>
      <c r="N463">
        <v>40000</v>
      </c>
      <c r="O463" s="7">
        <f>IF(AND(Table1[[#This Row],[Clean_Shortage]]&gt;0,Table1[[#This Row],[Lead_Time_Days]]&gt;10),1,0)</f>
        <v>0</v>
      </c>
    </row>
    <row r="464" spans="1:15" hidden="1" x14ac:dyDescent="0.3">
      <c r="A464" t="s">
        <v>474</v>
      </c>
      <c r="B464" t="s">
        <v>515</v>
      </c>
      <c r="C464" t="s">
        <v>517</v>
      </c>
      <c r="D464">
        <v>83</v>
      </c>
      <c r="E464">
        <v>75</v>
      </c>
      <c r="F464">
        <v>14</v>
      </c>
      <c r="G464">
        <v>1671</v>
      </c>
      <c r="H464">
        <v>7</v>
      </c>
      <c r="I464" s="1">
        <v>45389</v>
      </c>
      <c r="J464" s="7">
        <f>Table1[[#This Row],[Required_Qty]]-Table1[[#This Row],[Available_Qty]]</f>
        <v>8</v>
      </c>
      <c r="K464" s="7">
        <v>-8</v>
      </c>
      <c r="L464" s="7">
        <f>IF(Table1[[#This Row],[Required_Qty]]&gt;Table1[[#This Row],[Available_Qty]],Table1[[#This Row],[Required_Qty]]-Table1[[#This Row],[Available_Qty]],0)</f>
        <v>8</v>
      </c>
      <c r="M464" s="7">
        <f>IF(Table1[[#This Row],[Required_Qty]]&lt;Table1[[#This Row],[Available_Qty]],Table1[[#This Row],[Available_Qty]]-Table1[[#This Row],[Required_Qty]],0)</f>
        <v>0</v>
      </c>
      <c r="N464">
        <v>23394</v>
      </c>
      <c r="O464" s="7">
        <f>IF(AND(Table1[[#This Row],[Clean_Shortage]]&gt;0,Table1[[#This Row],[Lead_Time_Days]]&gt;10),1,0)</f>
        <v>0</v>
      </c>
    </row>
    <row r="465" spans="1:15" hidden="1" x14ac:dyDescent="0.3">
      <c r="A465" t="s">
        <v>475</v>
      </c>
      <c r="B465" t="s">
        <v>514</v>
      </c>
      <c r="C465" t="s">
        <v>517</v>
      </c>
      <c r="D465">
        <v>16</v>
      </c>
      <c r="E465">
        <v>78</v>
      </c>
      <c r="F465">
        <v>9</v>
      </c>
      <c r="G465">
        <v>8927</v>
      </c>
      <c r="H465">
        <v>9</v>
      </c>
      <c r="I465" s="1">
        <v>45390</v>
      </c>
      <c r="J465" s="7">
        <f>Table1[[#This Row],[Required_Qty]]-Table1[[#This Row],[Available_Qty]]</f>
        <v>-62</v>
      </c>
      <c r="K465" s="7">
        <v>62</v>
      </c>
      <c r="L465" s="7">
        <f>IF(Table1[[#This Row],[Required_Qty]]&gt;Table1[[#This Row],[Available_Qty]],Table1[[#This Row],[Required_Qty]]-Table1[[#This Row],[Available_Qty]],0)</f>
        <v>0</v>
      </c>
      <c r="M465" s="7">
        <f>IF(Table1[[#This Row],[Required_Qty]]&lt;Table1[[#This Row],[Available_Qty]],Table1[[#This Row],[Available_Qty]]-Table1[[#This Row],[Required_Qty]],0)</f>
        <v>62</v>
      </c>
      <c r="N465">
        <v>80343</v>
      </c>
      <c r="O465" s="7">
        <f>IF(AND(Table1[[#This Row],[Clean_Shortage]]&gt;0,Table1[[#This Row],[Lead_Time_Days]]&gt;10),1,0)</f>
        <v>0</v>
      </c>
    </row>
    <row r="466" spans="1:15" hidden="1" x14ac:dyDescent="0.3">
      <c r="A466" t="s">
        <v>476</v>
      </c>
      <c r="B466" t="s">
        <v>513</v>
      </c>
      <c r="C466" t="s">
        <v>516</v>
      </c>
      <c r="D466">
        <v>42</v>
      </c>
      <c r="E466">
        <v>109</v>
      </c>
      <c r="F466">
        <v>41</v>
      </c>
      <c r="G466">
        <v>2171</v>
      </c>
      <c r="H466">
        <v>7</v>
      </c>
      <c r="I466" s="1">
        <v>45391</v>
      </c>
      <c r="J466" s="7">
        <f>Table1[[#This Row],[Required_Qty]]-Table1[[#This Row],[Available_Qty]]</f>
        <v>-67</v>
      </c>
      <c r="K466" s="7">
        <v>67</v>
      </c>
      <c r="L466" s="7">
        <f>IF(Table1[[#This Row],[Required_Qty]]&gt;Table1[[#This Row],[Available_Qty]],Table1[[#This Row],[Required_Qty]]-Table1[[#This Row],[Available_Qty]],0)</f>
        <v>0</v>
      </c>
      <c r="M466" s="7">
        <f>IF(Table1[[#This Row],[Required_Qty]]&lt;Table1[[#This Row],[Available_Qty]],Table1[[#This Row],[Available_Qty]]-Table1[[#This Row],[Required_Qty]],0)</f>
        <v>67</v>
      </c>
      <c r="N466">
        <v>89011</v>
      </c>
      <c r="O466" s="7">
        <f>IF(AND(Table1[[#This Row],[Clean_Shortage]]&gt;0,Table1[[#This Row],[Lead_Time_Days]]&gt;10),1,0)</f>
        <v>0</v>
      </c>
    </row>
    <row r="467" spans="1:15" hidden="1" x14ac:dyDescent="0.3">
      <c r="A467" t="s">
        <v>477</v>
      </c>
      <c r="B467" t="s">
        <v>512</v>
      </c>
      <c r="C467" t="s">
        <v>516</v>
      </c>
      <c r="D467">
        <v>32</v>
      </c>
      <c r="E467">
        <v>100</v>
      </c>
      <c r="F467">
        <v>71</v>
      </c>
      <c r="G467">
        <v>6591</v>
      </c>
      <c r="H467">
        <v>13</v>
      </c>
      <c r="I467" s="1">
        <v>45392</v>
      </c>
      <c r="J467" s="7">
        <f>Table1[[#This Row],[Required_Qty]]-Table1[[#This Row],[Available_Qty]]</f>
        <v>-68</v>
      </c>
      <c r="K467" s="7">
        <v>68</v>
      </c>
      <c r="L467" s="7">
        <f>IF(Table1[[#This Row],[Required_Qty]]&gt;Table1[[#This Row],[Available_Qty]],Table1[[#This Row],[Required_Qty]]-Table1[[#This Row],[Available_Qty]],0)</f>
        <v>0</v>
      </c>
      <c r="M467" s="7">
        <f>IF(Table1[[#This Row],[Required_Qty]]&lt;Table1[[#This Row],[Available_Qty]],Table1[[#This Row],[Available_Qty]]-Table1[[#This Row],[Required_Qty]],0)</f>
        <v>68</v>
      </c>
      <c r="N467">
        <v>467961</v>
      </c>
      <c r="O467" s="7">
        <f>IF(AND(Table1[[#This Row],[Clean_Shortage]]&gt;0,Table1[[#This Row],[Lead_Time_Days]]&gt;10),1,0)</f>
        <v>0</v>
      </c>
    </row>
    <row r="468" spans="1:15" hidden="1" x14ac:dyDescent="0.3">
      <c r="A468" t="s">
        <v>478</v>
      </c>
      <c r="B468" t="s">
        <v>513</v>
      </c>
      <c r="C468" t="s">
        <v>516</v>
      </c>
      <c r="D468">
        <v>94</v>
      </c>
      <c r="E468">
        <v>102</v>
      </c>
      <c r="F468">
        <v>23</v>
      </c>
      <c r="G468">
        <v>7342</v>
      </c>
      <c r="H468">
        <v>11</v>
      </c>
      <c r="I468" s="1">
        <v>45393</v>
      </c>
      <c r="J468" s="7">
        <f>Table1[[#This Row],[Required_Qty]]-Table1[[#This Row],[Available_Qty]]</f>
        <v>-8</v>
      </c>
      <c r="K468" s="7">
        <v>8</v>
      </c>
      <c r="L468" s="7">
        <f>IF(Table1[[#This Row],[Required_Qty]]&gt;Table1[[#This Row],[Available_Qty]],Table1[[#This Row],[Required_Qty]]-Table1[[#This Row],[Available_Qty]],0)</f>
        <v>0</v>
      </c>
      <c r="M468" s="7">
        <f>IF(Table1[[#This Row],[Required_Qty]]&lt;Table1[[#This Row],[Available_Qty]],Table1[[#This Row],[Available_Qty]]-Table1[[#This Row],[Required_Qty]],0)</f>
        <v>8</v>
      </c>
      <c r="N468">
        <v>168866</v>
      </c>
      <c r="O468" s="7">
        <f>IF(AND(Table1[[#This Row],[Clean_Shortage]]&gt;0,Table1[[#This Row],[Lead_Time_Days]]&gt;10),1,0)</f>
        <v>0</v>
      </c>
    </row>
    <row r="469" spans="1:15" hidden="1" x14ac:dyDescent="0.3">
      <c r="A469" t="s">
        <v>479</v>
      </c>
      <c r="B469" t="s">
        <v>514</v>
      </c>
      <c r="C469" t="s">
        <v>516</v>
      </c>
      <c r="D469">
        <v>28</v>
      </c>
      <c r="E469">
        <v>67</v>
      </c>
      <c r="F469">
        <v>79</v>
      </c>
      <c r="G469">
        <v>2449</v>
      </c>
      <c r="H469">
        <v>14</v>
      </c>
      <c r="I469" s="1">
        <v>45394</v>
      </c>
      <c r="J469" s="7">
        <f>Table1[[#This Row],[Required_Qty]]-Table1[[#This Row],[Available_Qty]]</f>
        <v>-39</v>
      </c>
      <c r="K469" s="7">
        <v>39</v>
      </c>
      <c r="L469" s="7">
        <f>IF(Table1[[#This Row],[Required_Qty]]&gt;Table1[[#This Row],[Available_Qty]],Table1[[#This Row],[Required_Qty]]-Table1[[#This Row],[Available_Qty]],0)</f>
        <v>0</v>
      </c>
      <c r="M469" s="7">
        <f>IF(Table1[[#This Row],[Required_Qty]]&lt;Table1[[#This Row],[Available_Qty]],Table1[[#This Row],[Available_Qty]]-Table1[[#This Row],[Required_Qty]],0)</f>
        <v>39</v>
      </c>
      <c r="N469">
        <v>193471</v>
      </c>
      <c r="O469" s="7">
        <f>IF(AND(Table1[[#This Row],[Clean_Shortage]]&gt;0,Table1[[#This Row],[Lead_Time_Days]]&gt;10),1,0)</f>
        <v>0</v>
      </c>
    </row>
    <row r="470" spans="1:15" hidden="1" x14ac:dyDescent="0.3">
      <c r="A470" t="s">
        <v>480</v>
      </c>
      <c r="B470" t="s">
        <v>514</v>
      </c>
      <c r="C470" t="s">
        <v>517</v>
      </c>
      <c r="D470">
        <v>28</v>
      </c>
      <c r="E470">
        <v>32</v>
      </c>
      <c r="F470">
        <v>48</v>
      </c>
      <c r="G470">
        <v>3539</v>
      </c>
      <c r="H470">
        <v>3</v>
      </c>
      <c r="I470" s="1">
        <v>45395</v>
      </c>
      <c r="J470" s="7">
        <f>Table1[[#This Row],[Required_Qty]]-Table1[[#This Row],[Available_Qty]]</f>
        <v>-4</v>
      </c>
      <c r="K470" s="7">
        <v>4</v>
      </c>
      <c r="L470" s="7">
        <f>IF(Table1[[#This Row],[Required_Qty]]&gt;Table1[[#This Row],[Available_Qty]],Table1[[#This Row],[Required_Qty]]-Table1[[#This Row],[Available_Qty]],0)</f>
        <v>0</v>
      </c>
      <c r="M470" s="7">
        <f>IF(Table1[[#This Row],[Required_Qty]]&lt;Table1[[#This Row],[Available_Qty]],Table1[[#This Row],[Available_Qty]]-Table1[[#This Row],[Required_Qty]],0)</f>
        <v>4</v>
      </c>
      <c r="N470">
        <v>169872</v>
      </c>
      <c r="O470" s="7">
        <f>IF(AND(Table1[[#This Row],[Clean_Shortage]]&gt;0,Table1[[#This Row],[Lead_Time_Days]]&gt;10),1,0)</f>
        <v>0</v>
      </c>
    </row>
    <row r="471" spans="1:15" hidden="1" x14ac:dyDescent="0.3">
      <c r="A471" t="s">
        <v>481</v>
      </c>
      <c r="B471" t="s">
        <v>513</v>
      </c>
      <c r="C471" t="s">
        <v>517</v>
      </c>
      <c r="D471">
        <v>45</v>
      </c>
      <c r="E471">
        <v>64</v>
      </c>
      <c r="F471">
        <v>25</v>
      </c>
      <c r="G471">
        <v>4959</v>
      </c>
      <c r="H471">
        <v>11</v>
      </c>
      <c r="I471" s="1">
        <v>45396</v>
      </c>
      <c r="J471" s="7">
        <f>Table1[[#This Row],[Required_Qty]]-Table1[[#This Row],[Available_Qty]]</f>
        <v>-19</v>
      </c>
      <c r="K471" s="7">
        <v>19</v>
      </c>
      <c r="L471" s="7">
        <f>IF(Table1[[#This Row],[Required_Qty]]&gt;Table1[[#This Row],[Available_Qty]],Table1[[#This Row],[Required_Qty]]-Table1[[#This Row],[Available_Qty]],0)</f>
        <v>0</v>
      </c>
      <c r="M471" s="7">
        <f>IF(Table1[[#This Row],[Required_Qty]]&lt;Table1[[#This Row],[Available_Qty]],Table1[[#This Row],[Available_Qty]]-Table1[[#This Row],[Required_Qty]],0)</f>
        <v>19</v>
      </c>
      <c r="N471">
        <v>123975</v>
      </c>
      <c r="O471" s="7">
        <f>IF(AND(Table1[[#This Row],[Clean_Shortage]]&gt;0,Table1[[#This Row],[Lead_Time_Days]]&gt;10),1,0)</f>
        <v>0</v>
      </c>
    </row>
    <row r="472" spans="1:15" hidden="1" x14ac:dyDescent="0.3">
      <c r="A472" t="s">
        <v>482</v>
      </c>
      <c r="B472" t="s">
        <v>514</v>
      </c>
      <c r="C472" t="s">
        <v>518</v>
      </c>
      <c r="D472">
        <v>38</v>
      </c>
      <c r="E472">
        <v>83</v>
      </c>
      <c r="F472">
        <v>36</v>
      </c>
      <c r="G472">
        <v>7285</v>
      </c>
      <c r="H472">
        <v>13</v>
      </c>
      <c r="I472" s="1">
        <v>45397</v>
      </c>
      <c r="J472" s="7">
        <f>Table1[[#This Row],[Required_Qty]]-Table1[[#This Row],[Available_Qty]]</f>
        <v>-45</v>
      </c>
      <c r="K472" s="7">
        <v>45</v>
      </c>
      <c r="L472" s="7">
        <f>IF(Table1[[#This Row],[Required_Qty]]&gt;Table1[[#This Row],[Available_Qty]],Table1[[#This Row],[Required_Qty]]-Table1[[#This Row],[Available_Qty]],0)</f>
        <v>0</v>
      </c>
      <c r="M472" s="7">
        <f>IF(Table1[[#This Row],[Required_Qty]]&lt;Table1[[#This Row],[Available_Qty]],Table1[[#This Row],[Available_Qty]]-Table1[[#This Row],[Required_Qty]],0)</f>
        <v>45</v>
      </c>
      <c r="N472">
        <v>262260</v>
      </c>
      <c r="O472" s="7">
        <f>IF(AND(Table1[[#This Row],[Clean_Shortage]]&gt;0,Table1[[#This Row],[Lead_Time_Days]]&gt;10),1,0)</f>
        <v>0</v>
      </c>
    </row>
    <row r="473" spans="1:15" hidden="1" x14ac:dyDescent="0.3">
      <c r="A473" t="s">
        <v>483</v>
      </c>
      <c r="B473" t="s">
        <v>513</v>
      </c>
      <c r="C473" t="s">
        <v>518</v>
      </c>
      <c r="D473">
        <v>69</v>
      </c>
      <c r="E473">
        <v>98</v>
      </c>
      <c r="F473">
        <v>67</v>
      </c>
      <c r="G473">
        <v>6432</v>
      </c>
      <c r="H473">
        <v>14</v>
      </c>
      <c r="I473" s="1">
        <v>45398</v>
      </c>
      <c r="J473" s="7">
        <f>Table1[[#This Row],[Required_Qty]]-Table1[[#This Row],[Available_Qty]]</f>
        <v>-29</v>
      </c>
      <c r="K473" s="7">
        <v>29</v>
      </c>
      <c r="L473" s="7">
        <f>IF(Table1[[#This Row],[Required_Qty]]&gt;Table1[[#This Row],[Available_Qty]],Table1[[#This Row],[Required_Qty]]-Table1[[#This Row],[Available_Qty]],0)</f>
        <v>0</v>
      </c>
      <c r="M473" s="7">
        <f>IF(Table1[[#This Row],[Required_Qty]]&lt;Table1[[#This Row],[Available_Qty]],Table1[[#This Row],[Available_Qty]]-Table1[[#This Row],[Required_Qty]],0)</f>
        <v>29</v>
      </c>
      <c r="N473">
        <v>430944</v>
      </c>
      <c r="O473" s="7">
        <f>IF(AND(Table1[[#This Row],[Clean_Shortage]]&gt;0,Table1[[#This Row],[Lead_Time_Days]]&gt;10),1,0)</f>
        <v>0</v>
      </c>
    </row>
    <row r="474" spans="1:15" x14ac:dyDescent="0.3">
      <c r="A474" t="s">
        <v>484</v>
      </c>
      <c r="B474" t="s">
        <v>512</v>
      </c>
      <c r="C474" t="s">
        <v>516</v>
      </c>
      <c r="D474">
        <v>91</v>
      </c>
      <c r="E474">
        <v>41</v>
      </c>
      <c r="F474">
        <v>49</v>
      </c>
      <c r="G474">
        <v>5260</v>
      </c>
      <c r="H474">
        <v>13</v>
      </c>
      <c r="I474" s="1">
        <v>45399</v>
      </c>
      <c r="J474" s="7">
        <f>Table1[[#This Row],[Required_Qty]]-Table1[[#This Row],[Available_Qty]]</f>
        <v>50</v>
      </c>
      <c r="K474" s="7">
        <v>-50</v>
      </c>
      <c r="L474" s="7">
        <f>IF(Table1[[#This Row],[Required_Qty]]&gt;Table1[[#This Row],[Available_Qty]],Table1[[#This Row],[Required_Qty]]-Table1[[#This Row],[Available_Qty]],0)</f>
        <v>50</v>
      </c>
      <c r="M474" s="7">
        <f>IF(Table1[[#This Row],[Required_Qty]]&lt;Table1[[#This Row],[Available_Qty]],Table1[[#This Row],[Available_Qty]]-Table1[[#This Row],[Required_Qty]],0)</f>
        <v>0</v>
      </c>
      <c r="N474">
        <v>257740</v>
      </c>
      <c r="O474" s="7">
        <f>IF(AND(Table1[[#This Row],[Clean_Shortage]]&gt;0,Table1[[#This Row],[Lead_Time_Days]]&gt;10),1,0)</f>
        <v>1</v>
      </c>
    </row>
    <row r="475" spans="1:15" hidden="1" x14ac:dyDescent="0.3">
      <c r="A475" t="s">
        <v>485</v>
      </c>
      <c r="B475" t="s">
        <v>513</v>
      </c>
      <c r="C475" t="s">
        <v>516</v>
      </c>
      <c r="D475">
        <v>11</v>
      </c>
      <c r="E475">
        <v>97</v>
      </c>
      <c r="F475">
        <v>23</v>
      </c>
      <c r="G475">
        <v>3361</v>
      </c>
      <c r="H475">
        <v>1</v>
      </c>
      <c r="I475" s="1">
        <v>45400</v>
      </c>
      <c r="J475" s="7">
        <f>Table1[[#This Row],[Required_Qty]]-Table1[[#This Row],[Available_Qty]]</f>
        <v>-86</v>
      </c>
      <c r="K475" s="7">
        <v>86</v>
      </c>
      <c r="L475" s="7">
        <f>IF(Table1[[#This Row],[Required_Qty]]&gt;Table1[[#This Row],[Available_Qty]],Table1[[#This Row],[Required_Qty]]-Table1[[#This Row],[Available_Qty]],0)</f>
        <v>0</v>
      </c>
      <c r="M475" s="7">
        <f>IF(Table1[[#This Row],[Required_Qty]]&lt;Table1[[#This Row],[Available_Qty]],Table1[[#This Row],[Available_Qty]]-Table1[[#This Row],[Required_Qty]],0)</f>
        <v>86</v>
      </c>
      <c r="N475">
        <v>77303</v>
      </c>
      <c r="O475" s="7">
        <f>IF(AND(Table1[[#This Row],[Clean_Shortage]]&gt;0,Table1[[#This Row],[Lead_Time_Days]]&gt;10),1,0)</f>
        <v>0</v>
      </c>
    </row>
    <row r="476" spans="1:15" hidden="1" x14ac:dyDescent="0.3">
      <c r="A476" t="s">
        <v>486</v>
      </c>
      <c r="B476" t="s">
        <v>512</v>
      </c>
      <c r="C476" t="s">
        <v>516</v>
      </c>
      <c r="D476">
        <v>10</v>
      </c>
      <c r="E476">
        <v>26</v>
      </c>
      <c r="F476">
        <v>18</v>
      </c>
      <c r="G476">
        <v>7164</v>
      </c>
      <c r="H476">
        <v>8</v>
      </c>
      <c r="I476" s="1">
        <v>45401</v>
      </c>
      <c r="J476" s="7">
        <f>Table1[[#This Row],[Required_Qty]]-Table1[[#This Row],[Available_Qty]]</f>
        <v>-16</v>
      </c>
      <c r="K476" s="7">
        <v>16</v>
      </c>
      <c r="L476" s="7">
        <f>IF(Table1[[#This Row],[Required_Qty]]&gt;Table1[[#This Row],[Available_Qty]],Table1[[#This Row],[Required_Qty]]-Table1[[#This Row],[Available_Qty]],0)</f>
        <v>0</v>
      </c>
      <c r="M476" s="7">
        <f>IF(Table1[[#This Row],[Required_Qty]]&lt;Table1[[#This Row],[Available_Qty]],Table1[[#This Row],[Available_Qty]]-Table1[[#This Row],[Required_Qty]],0)</f>
        <v>16</v>
      </c>
      <c r="N476">
        <v>128952</v>
      </c>
      <c r="O476" s="7">
        <f>IF(AND(Table1[[#This Row],[Clean_Shortage]]&gt;0,Table1[[#This Row],[Lead_Time_Days]]&gt;10),1,0)</f>
        <v>0</v>
      </c>
    </row>
    <row r="477" spans="1:15" hidden="1" x14ac:dyDescent="0.3">
      <c r="A477" t="s">
        <v>487</v>
      </c>
      <c r="B477" t="s">
        <v>513</v>
      </c>
      <c r="C477" t="s">
        <v>518</v>
      </c>
      <c r="D477">
        <v>56</v>
      </c>
      <c r="E477">
        <v>72</v>
      </c>
      <c r="F477">
        <v>59</v>
      </c>
      <c r="G477">
        <v>4670</v>
      </c>
      <c r="H477">
        <v>12</v>
      </c>
      <c r="I477" s="1">
        <v>45402</v>
      </c>
      <c r="J477" s="7">
        <f>Table1[[#This Row],[Required_Qty]]-Table1[[#This Row],[Available_Qty]]</f>
        <v>-16</v>
      </c>
      <c r="K477" s="7">
        <v>16</v>
      </c>
      <c r="L477" s="7">
        <f>IF(Table1[[#This Row],[Required_Qty]]&gt;Table1[[#This Row],[Available_Qty]],Table1[[#This Row],[Required_Qty]]-Table1[[#This Row],[Available_Qty]],0)</f>
        <v>0</v>
      </c>
      <c r="M477" s="7">
        <f>IF(Table1[[#This Row],[Required_Qty]]&lt;Table1[[#This Row],[Available_Qty]],Table1[[#This Row],[Available_Qty]]-Table1[[#This Row],[Required_Qty]],0)</f>
        <v>16</v>
      </c>
      <c r="N477">
        <v>275530</v>
      </c>
      <c r="O477" s="7">
        <f>IF(AND(Table1[[#This Row],[Clean_Shortage]]&gt;0,Table1[[#This Row],[Lead_Time_Days]]&gt;10),1,0)</f>
        <v>0</v>
      </c>
    </row>
    <row r="478" spans="1:15" hidden="1" x14ac:dyDescent="0.3">
      <c r="A478" t="s">
        <v>488</v>
      </c>
      <c r="B478" t="s">
        <v>514</v>
      </c>
      <c r="C478" t="s">
        <v>518</v>
      </c>
      <c r="D478">
        <v>78</v>
      </c>
      <c r="E478">
        <v>24</v>
      </c>
      <c r="F478">
        <v>38</v>
      </c>
      <c r="G478">
        <v>2753</v>
      </c>
      <c r="H478">
        <v>3</v>
      </c>
      <c r="I478" s="1">
        <v>45403</v>
      </c>
      <c r="J478" s="7">
        <f>Table1[[#This Row],[Required_Qty]]-Table1[[#This Row],[Available_Qty]]</f>
        <v>54</v>
      </c>
      <c r="K478" s="7">
        <v>-54</v>
      </c>
      <c r="L478" s="7">
        <f>IF(Table1[[#This Row],[Required_Qty]]&gt;Table1[[#This Row],[Available_Qty]],Table1[[#This Row],[Required_Qty]]-Table1[[#This Row],[Available_Qty]],0)</f>
        <v>54</v>
      </c>
      <c r="M478" s="7">
        <f>IF(Table1[[#This Row],[Required_Qty]]&lt;Table1[[#This Row],[Available_Qty]],Table1[[#This Row],[Available_Qty]]-Table1[[#This Row],[Required_Qty]],0)</f>
        <v>0</v>
      </c>
      <c r="N478">
        <v>104614</v>
      </c>
      <c r="O478" s="7">
        <f>IF(AND(Table1[[#This Row],[Clean_Shortage]]&gt;0,Table1[[#This Row],[Lead_Time_Days]]&gt;10),1,0)</f>
        <v>0</v>
      </c>
    </row>
    <row r="479" spans="1:15" hidden="1" x14ac:dyDescent="0.3">
      <c r="A479" t="s">
        <v>489</v>
      </c>
      <c r="B479" t="s">
        <v>513</v>
      </c>
      <c r="C479" t="s">
        <v>518</v>
      </c>
      <c r="D479">
        <v>29</v>
      </c>
      <c r="E479">
        <v>100</v>
      </c>
      <c r="F479">
        <v>73</v>
      </c>
      <c r="G479">
        <v>9100</v>
      </c>
      <c r="H479">
        <v>12</v>
      </c>
      <c r="I479" s="1">
        <v>45404</v>
      </c>
      <c r="J479" s="7">
        <f>Table1[[#This Row],[Required_Qty]]-Table1[[#This Row],[Available_Qty]]</f>
        <v>-71</v>
      </c>
      <c r="K479" s="7">
        <v>71</v>
      </c>
      <c r="L479" s="7">
        <f>IF(Table1[[#This Row],[Required_Qty]]&gt;Table1[[#This Row],[Available_Qty]],Table1[[#This Row],[Required_Qty]]-Table1[[#This Row],[Available_Qty]],0)</f>
        <v>0</v>
      </c>
      <c r="M479" s="7">
        <f>IF(Table1[[#This Row],[Required_Qty]]&lt;Table1[[#This Row],[Available_Qty]],Table1[[#This Row],[Available_Qty]]-Table1[[#This Row],[Required_Qty]],0)</f>
        <v>71</v>
      </c>
      <c r="N479">
        <v>664300</v>
      </c>
      <c r="O479" s="7">
        <f>IF(AND(Table1[[#This Row],[Clean_Shortage]]&gt;0,Table1[[#This Row],[Lead_Time_Days]]&gt;10),1,0)</f>
        <v>0</v>
      </c>
    </row>
    <row r="480" spans="1:15" hidden="1" x14ac:dyDescent="0.3">
      <c r="A480" t="s">
        <v>490</v>
      </c>
      <c r="B480" t="s">
        <v>514</v>
      </c>
      <c r="C480" t="s">
        <v>518</v>
      </c>
      <c r="D480">
        <v>20</v>
      </c>
      <c r="E480">
        <v>104</v>
      </c>
      <c r="F480">
        <v>17</v>
      </c>
      <c r="G480">
        <v>2938</v>
      </c>
      <c r="H480">
        <v>8</v>
      </c>
      <c r="I480" s="1">
        <v>45405</v>
      </c>
      <c r="J480" s="7">
        <f>Table1[[#This Row],[Required_Qty]]-Table1[[#This Row],[Available_Qty]]</f>
        <v>-84</v>
      </c>
      <c r="K480" s="7">
        <v>84</v>
      </c>
      <c r="L480" s="7">
        <f>IF(Table1[[#This Row],[Required_Qty]]&gt;Table1[[#This Row],[Available_Qty]],Table1[[#This Row],[Required_Qty]]-Table1[[#This Row],[Available_Qty]],0)</f>
        <v>0</v>
      </c>
      <c r="M480" s="7">
        <f>IF(Table1[[#This Row],[Required_Qty]]&lt;Table1[[#This Row],[Available_Qty]],Table1[[#This Row],[Available_Qty]]-Table1[[#This Row],[Required_Qty]],0)</f>
        <v>84</v>
      </c>
      <c r="N480">
        <v>49946</v>
      </c>
      <c r="O480" s="7">
        <f>IF(AND(Table1[[#This Row],[Clean_Shortage]]&gt;0,Table1[[#This Row],[Lead_Time_Days]]&gt;10),1,0)</f>
        <v>0</v>
      </c>
    </row>
    <row r="481" spans="1:15" hidden="1" x14ac:dyDescent="0.3">
      <c r="A481" t="s">
        <v>491</v>
      </c>
      <c r="B481" t="s">
        <v>513</v>
      </c>
      <c r="C481" t="s">
        <v>518</v>
      </c>
      <c r="D481">
        <v>11</v>
      </c>
      <c r="E481">
        <v>118</v>
      </c>
      <c r="F481">
        <v>18</v>
      </c>
      <c r="G481">
        <v>9562</v>
      </c>
      <c r="H481">
        <v>8</v>
      </c>
      <c r="I481" s="1">
        <v>45406</v>
      </c>
      <c r="J481" s="7">
        <f>Table1[[#This Row],[Required_Qty]]-Table1[[#This Row],[Available_Qty]]</f>
        <v>-107</v>
      </c>
      <c r="K481" s="7">
        <v>107</v>
      </c>
      <c r="L481" s="7">
        <f>IF(Table1[[#This Row],[Required_Qty]]&gt;Table1[[#This Row],[Available_Qty]],Table1[[#This Row],[Required_Qty]]-Table1[[#This Row],[Available_Qty]],0)</f>
        <v>0</v>
      </c>
      <c r="M481" s="7">
        <f>IF(Table1[[#This Row],[Required_Qty]]&lt;Table1[[#This Row],[Available_Qty]],Table1[[#This Row],[Available_Qty]]-Table1[[#This Row],[Required_Qty]],0)</f>
        <v>107</v>
      </c>
      <c r="N481">
        <v>172116</v>
      </c>
      <c r="O481" s="7">
        <f>IF(AND(Table1[[#This Row],[Clean_Shortage]]&gt;0,Table1[[#This Row],[Lead_Time_Days]]&gt;10),1,0)</f>
        <v>0</v>
      </c>
    </row>
    <row r="482" spans="1:15" x14ac:dyDescent="0.3">
      <c r="A482" t="s">
        <v>492</v>
      </c>
      <c r="B482" t="s">
        <v>513</v>
      </c>
      <c r="C482" t="s">
        <v>518</v>
      </c>
      <c r="D482">
        <v>76</v>
      </c>
      <c r="E482">
        <v>72</v>
      </c>
      <c r="F482">
        <v>35</v>
      </c>
      <c r="G482">
        <v>6976</v>
      </c>
      <c r="H482">
        <v>13</v>
      </c>
      <c r="I482" s="1">
        <v>45407</v>
      </c>
      <c r="J482" s="7">
        <f>Table1[[#This Row],[Required_Qty]]-Table1[[#This Row],[Available_Qty]]</f>
        <v>4</v>
      </c>
      <c r="K482" s="7">
        <v>-4</v>
      </c>
      <c r="L482" s="7">
        <f>IF(Table1[[#This Row],[Required_Qty]]&gt;Table1[[#This Row],[Available_Qty]],Table1[[#This Row],[Required_Qty]]-Table1[[#This Row],[Available_Qty]],0)</f>
        <v>4</v>
      </c>
      <c r="M482" s="7">
        <f>IF(Table1[[#This Row],[Required_Qty]]&lt;Table1[[#This Row],[Available_Qty]],Table1[[#This Row],[Available_Qty]]-Table1[[#This Row],[Required_Qty]],0)</f>
        <v>0</v>
      </c>
      <c r="N482">
        <v>244160</v>
      </c>
      <c r="O482" s="7">
        <f>IF(AND(Table1[[#This Row],[Clean_Shortage]]&gt;0,Table1[[#This Row],[Lead_Time_Days]]&gt;10),1,0)</f>
        <v>1</v>
      </c>
    </row>
    <row r="483" spans="1:15" hidden="1" x14ac:dyDescent="0.3">
      <c r="A483" t="s">
        <v>493</v>
      </c>
      <c r="B483" t="s">
        <v>515</v>
      </c>
      <c r="C483" t="s">
        <v>518</v>
      </c>
      <c r="D483">
        <v>96</v>
      </c>
      <c r="E483">
        <v>95</v>
      </c>
      <c r="F483">
        <v>73</v>
      </c>
      <c r="G483">
        <v>7588</v>
      </c>
      <c r="H483">
        <v>5</v>
      </c>
      <c r="I483" s="1">
        <v>45408</v>
      </c>
      <c r="J483" s="7">
        <f>Table1[[#This Row],[Required_Qty]]-Table1[[#This Row],[Available_Qty]]</f>
        <v>1</v>
      </c>
      <c r="K483" s="7">
        <v>-1</v>
      </c>
      <c r="L483" s="7">
        <f>IF(Table1[[#This Row],[Required_Qty]]&gt;Table1[[#This Row],[Available_Qty]],Table1[[#This Row],[Required_Qty]]-Table1[[#This Row],[Available_Qty]],0)</f>
        <v>1</v>
      </c>
      <c r="M483" s="7">
        <f>IF(Table1[[#This Row],[Required_Qty]]&lt;Table1[[#This Row],[Available_Qty]],Table1[[#This Row],[Available_Qty]]-Table1[[#This Row],[Required_Qty]],0)</f>
        <v>0</v>
      </c>
      <c r="N483">
        <v>553924</v>
      </c>
      <c r="O483" s="7">
        <f>IF(AND(Table1[[#This Row],[Clean_Shortage]]&gt;0,Table1[[#This Row],[Lead_Time_Days]]&gt;10),1,0)</f>
        <v>0</v>
      </c>
    </row>
    <row r="484" spans="1:15" hidden="1" x14ac:dyDescent="0.3">
      <c r="A484" t="s">
        <v>494</v>
      </c>
      <c r="B484" t="s">
        <v>514</v>
      </c>
      <c r="C484" t="s">
        <v>516</v>
      </c>
      <c r="D484">
        <v>21</v>
      </c>
      <c r="E484">
        <v>68</v>
      </c>
      <c r="F484">
        <v>54</v>
      </c>
      <c r="G484">
        <v>9616</v>
      </c>
      <c r="H484">
        <v>13</v>
      </c>
      <c r="I484" s="1">
        <v>45409</v>
      </c>
      <c r="J484" s="7">
        <f>Table1[[#This Row],[Required_Qty]]-Table1[[#This Row],[Available_Qty]]</f>
        <v>-47</v>
      </c>
      <c r="K484" s="7">
        <v>47</v>
      </c>
      <c r="L484" s="7">
        <f>IF(Table1[[#This Row],[Required_Qty]]&gt;Table1[[#This Row],[Available_Qty]],Table1[[#This Row],[Required_Qty]]-Table1[[#This Row],[Available_Qty]],0)</f>
        <v>0</v>
      </c>
      <c r="M484" s="7">
        <f>IF(Table1[[#This Row],[Required_Qty]]&lt;Table1[[#This Row],[Available_Qty]],Table1[[#This Row],[Available_Qty]]-Table1[[#This Row],[Required_Qty]],0)</f>
        <v>47</v>
      </c>
      <c r="N484">
        <v>519264</v>
      </c>
      <c r="O484" s="7">
        <f>IF(AND(Table1[[#This Row],[Clean_Shortage]]&gt;0,Table1[[#This Row],[Lead_Time_Days]]&gt;10),1,0)</f>
        <v>0</v>
      </c>
    </row>
    <row r="485" spans="1:15" x14ac:dyDescent="0.3">
      <c r="A485" t="s">
        <v>495</v>
      </c>
      <c r="B485" t="s">
        <v>515</v>
      </c>
      <c r="C485" t="s">
        <v>516</v>
      </c>
      <c r="D485">
        <v>29</v>
      </c>
      <c r="E485">
        <v>21</v>
      </c>
      <c r="F485">
        <v>68</v>
      </c>
      <c r="G485">
        <v>7304</v>
      </c>
      <c r="H485">
        <v>12</v>
      </c>
      <c r="I485" s="1">
        <v>45410</v>
      </c>
      <c r="J485" s="7">
        <f>Table1[[#This Row],[Required_Qty]]-Table1[[#This Row],[Available_Qty]]</f>
        <v>8</v>
      </c>
      <c r="K485" s="7">
        <v>-8</v>
      </c>
      <c r="L485" s="7">
        <f>IF(Table1[[#This Row],[Required_Qty]]&gt;Table1[[#This Row],[Available_Qty]],Table1[[#This Row],[Required_Qty]]-Table1[[#This Row],[Available_Qty]],0)</f>
        <v>8</v>
      </c>
      <c r="M485" s="7">
        <f>IF(Table1[[#This Row],[Required_Qty]]&lt;Table1[[#This Row],[Available_Qty]],Table1[[#This Row],[Available_Qty]]-Table1[[#This Row],[Required_Qty]],0)</f>
        <v>0</v>
      </c>
      <c r="N485">
        <v>496672</v>
      </c>
      <c r="O485" s="7">
        <f>IF(AND(Table1[[#This Row],[Clean_Shortage]]&gt;0,Table1[[#This Row],[Lead_Time_Days]]&gt;10),1,0)</f>
        <v>1</v>
      </c>
    </row>
    <row r="486" spans="1:15" hidden="1" x14ac:dyDescent="0.3">
      <c r="A486" t="s">
        <v>496</v>
      </c>
      <c r="B486" t="s">
        <v>514</v>
      </c>
      <c r="C486" t="s">
        <v>516</v>
      </c>
      <c r="D486">
        <v>14</v>
      </c>
      <c r="E486">
        <v>16</v>
      </c>
      <c r="F486">
        <v>46</v>
      </c>
      <c r="G486">
        <v>8345</v>
      </c>
      <c r="H486">
        <v>13</v>
      </c>
      <c r="I486" s="1">
        <v>45411</v>
      </c>
      <c r="J486" s="7">
        <f>Table1[[#This Row],[Required_Qty]]-Table1[[#This Row],[Available_Qty]]</f>
        <v>-2</v>
      </c>
      <c r="K486" s="7">
        <v>2</v>
      </c>
      <c r="L486" s="7">
        <f>IF(Table1[[#This Row],[Required_Qty]]&gt;Table1[[#This Row],[Available_Qty]],Table1[[#This Row],[Required_Qty]]-Table1[[#This Row],[Available_Qty]],0)</f>
        <v>0</v>
      </c>
      <c r="M486" s="7">
        <f>IF(Table1[[#This Row],[Required_Qty]]&lt;Table1[[#This Row],[Available_Qty]],Table1[[#This Row],[Available_Qty]]-Table1[[#This Row],[Required_Qty]],0)</f>
        <v>2</v>
      </c>
      <c r="N486">
        <v>383870</v>
      </c>
      <c r="O486" s="7">
        <f>IF(AND(Table1[[#This Row],[Clean_Shortage]]&gt;0,Table1[[#This Row],[Lead_Time_Days]]&gt;10),1,0)</f>
        <v>0</v>
      </c>
    </row>
    <row r="487" spans="1:15" hidden="1" x14ac:dyDescent="0.3">
      <c r="A487" t="s">
        <v>497</v>
      </c>
      <c r="B487" t="s">
        <v>515</v>
      </c>
      <c r="C487" t="s">
        <v>516</v>
      </c>
      <c r="D487">
        <v>46</v>
      </c>
      <c r="E487">
        <v>26</v>
      </c>
      <c r="F487">
        <v>48</v>
      </c>
      <c r="G487">
        <v>8875</v>
      </c>
      <c r="H487">
        <v>1</v>
      </c>
      <c r="I487" s="1">
        <v>45412</v>
      </c>
      <c r="J487" s="7">
        <f>Table1[[#This Row],[Required_Qty]]-Table1[[#This Row],[Available_Qty]]</f>
        <v>20</v>
      </c>
      <c r="K487" s="7">
        <v>-20</v>
      </c>
      <c r="L487" s="7">
        <f>IF(Table1[[#This Row],[Required_Qty]]&gt;Table1[[#This Row],[Available_Qty]],Table1[[#This Row],[Required_Qty]]-Table1[[#This Row],[Available_Qty]],0)</f>
        <v>20</v>
      </c>
      <c r="M487" s="7">
        <f>IF(Table1[[#This Row],[Required_Qty]]&lt;Table1[[#This Row],[Available_Qty]],Table1[[#This Row],[Available_Qty]]-Table1[[#This Row],[Required_Qty]],0)</f>
        <v>0</v>
      </c>
      <c r="N487">
        <v>426000</v>
      </c>
      <c r="O487" s="7">
        <f>IF(AND(Table1[[#This Row],[Clean_Shortage]]&gt;0,Table1[[#This Row],[Lead_Time_Days]]&gt;10),1,0)</f>
        <v>0</v>
      </c>
    </row>
    <row r="488" spans="1:15" x14ac:dyDescent="0.3">
      <c r="A488" t="s">
        <v>498</v>
      </c>
      <c r="B488" t="s">
        <v>512</v>
      </c>
      <c r="C488" t="s">
        <v>518</v>
      </c>
      <c r="D488">
        <v>47</v>
      </c>
      <c r="E488">
        <v>21</v>
      </c>
      <c r="F488">
        <v>32</v>
      </c>
      <c r="G488">
        <v>7633</v>
      </c>
      <c r="H488">
        <v>13</v>
      </c>
      <c r="I488" s="1">
        <v>45413</v>
      </c>
      <c r="J488" s="7">
        <f>Table1[[#This Row],[Required_Qty]]-Table1[[#This Row],[Available_Qty]]</f>
        <v>26</v>
      </c>
      <c r="K488" s="7">
        <v>-26</v>
      </c>
      <c r="L488" s="7">
        <f>IF(Table1[[#This Row],[Required_Qty]]&gt;Table1[[#This Row],[Available_Qty]],Table1[[#This Row],[Required_Qty]]-Table1[[#This Row],[Available_Qty]],0)</f>
        <v>26</v>
      </c>
      <c r="M488" s="7">
        <f>IF(Table1[[#This Row],[Required_Qty]]&lt;Table1[[#This Row],[Available_Qty]],Table1[[#This Row],[Available_Qty]]-Table1[[#This Row],[Required_Qty]],0)</f>
        <v>0</v>
      </c>
      <c r="N488">
        <v>244256</v>
      </c>
      <c r="O488" s="7">
        <f>IF(AND(Table1[[#This Row],[Clean_Shortage]]&gt;0,Table1[[#This Row],[Lead_Time_Days]]&gt;10),1,0)</f>
        <v>1</v>
      </c>
    </row>
    <row r="489" spans="1:15" hidden="1" x14ac:dyDescent="0.3">
      <c r="A489" t="s">
        <v>499</v>
      </c>
      <c r="B489" t="s">
        <v>513</v>
      </c>
      <c r="C489" t="s">
        <v>517</v>
      </c>
      <c r="D489">
        <v>18</v>
      </c>
      <c r="E489">
        <v>14</v>
      </c>
      <c r="F489">
        <v>20</v>
      </c>
      <c r="G489">
        <v>1597</v>
      </c>
      <c r="H489">
        <v>10</v>
      </c>
      <c r="I489" s="1">
        <v>45414</v>
      </c>
      <c r="J489" s="7">
        <f>Table1[[#This Row],[Required_Qty]]-Table1[[#This Row],[Available_Qty]]</f>
        <v>4</v>
      </c>
      <c r="K489" s="7">
        <v>-4</v>
      </c>
      <c r="L489" s="7">
        <f>IF(Table1[[#This Row],[Required_Qty]]&gt;Table1[[#This Row],[Available_Qty]],Table1[[#This Row],[Required_Qty]]-Table1[[#This Row],[Available_Qty]],0)</f>
        <v>4</v>
      </c>
      <c r="M489" s="7">
        <f>IF(Table1[[#This Row],[Required_Qty]]&lt;Table1[[#This Row],[Available_Qty]],Table1[[#This Row],[Available_Qty]]-Table1[[#This Row],[Required_Qty]],0)</f>
        <v>0</v>
      </c>
      <c r="N489">
        <v>31940</v>
      </c>
      <c r="O489" s="7">
        <f>IF(AND(Table1[[#This Row],[Clean_Shortage]]&gt;0,Table1[[#This Row],[Lead_Time_Days]]&gt;10),1,0)</f>
        <v>0</v>
      </c>
    </row>
    <row r="490" spans="1:15" hidden="1" x14ac:dyDescent="0.3">
      <c r="A490" t="s">
        <v>500</v>
      </c>
      <c r="B490" t="s">
        <v>514</v>
      </c>
      <c r="C490" t="s">
        <v>518</v>
      </c>
      <c r="D490">
        <v>62</v>
      </c>
      <c r="E490">
        <v>69</v>
      </c>
      <c r="F490">
        <v>21</v>
      </c>
      <c r="G490">
        <v>4062</v>
      </c>
      <c r="H490">
        <v>7</v>
      </c>
      <c r="I490" s="1">
        <v>45415</v>
      </c>
      <c r="J490" s="7">
        <f>Table1[[#This Row],[Required_Qty]]-Table1[[#This Row],[Available_Qty]]</f>
        <v>-7</v>
      </c>
      <c r="K490" s="7">
        <v>7</v>
      </c>
      <c r="L490" s="7">
        <f>IF(Table1[[#This Row],[Required_Qty]]&gt;Table1[[#This Row],[Available_Qty]],Table1[[#This Row],[Required_Qty]]-Table1[[#This Row],[Available_Qty]],0)</f>
        <v>0</v>
      </c>
      <c r="M490" s="7">
        <f>IF(Table1[[#This Row],[Required_Qty]]&lt;Table1[[#This Row],[Available_Qty]],Table1[[#This Row],[Available_Qty]]-Table1[[#This Row],[Required_Qty]],0)</f>
        <v>7</v>
      </c>
      <c r="N490">
        <v>85302</v>
      </c>
      <c r="O490" s="7">
        <f>IF(AND(Table1[[#This Row],[Clean_Shortage]]&gt;0,Table1[[#This Row],[Lead_Time_Days]]&gt;10),1,0)</f>
        <v>0</v>
      </c>
    </row>
    <row r="491" spans="1:15" x14ac:dyDescent="0.3">
      <c r="A491" t="s">
        <v>501</v>
      </c>
      <c r="B491" t="s">
        <v>514</v>
      </c>
      <c r="C491" t="s">
        <v>517</v>
      </c>
      <c r="D491">
        <v>53</v>
      </c>
      <c r="E491">
        <v>26</v>
      </c>
      <c r="F491">
        <v>47</v>
      </c>
      <c r="G491">
        <v>3336</v>
      </c>
      <c r="H491">
        <v>12</v>
      </c>
      <c r="I491" s="1">
        <v>45416</v>
      </c>
      <c r="J491" s="7">
        <f>Table1[[#This Row],[Required_Qty]]-Table1[[#This Row],[Available_Qty]]</f>
        <v>27</v>
      </c>
      <c r="K491" s="7">
        <v>-27</v>
      </c>
      <c r="L491" s="7">
        <f>IF(Table1[[#This Row],[Required_Qty]]&gt;Table1[[#This Row],[Available_Qty]],Table1[[#This Row],[Required_Qty]]-Table1[[#This Row],[Available_Qty]],0)</f>
        <v>27</v>
      </c>
      <c r="M491" s="7">
        <f>IF(Table1[[#This Row],[Required_Qty]]&lt;Table1[[#This Row],[Available_Qty]],Table1[[#This Row],[Available_Qty]]-Table1[[#This Row],[Required_Qty]],0)</f>
        <v>0</v>
      </c>
      <c r="N491">
        <v>156792</v>
      </c>
      <c r="O491" s="7">
        <f>IF(AND(Table1[[#This Row],[Clean_Shortage]]&gt;0,Table1[[#This Row],[Lead_Time_Days]]&gt;10),1,0)</f>
        <v>1</v>
      </c>
    </row>
    <row r="492" spans="1:15" hidden="1" x14ac:dyDescent="0.3">
      <c r="A492" t="s">
        <v>502</v>
      </c>
      <c r="B492" t="s">
        <v>513</v>
      </c>
      <c r="C492" t="s">
        <v>516</v>
      </c>
      <c r="D492">
        <v>95</v>
      </c>
      <c r="E492">
        <v>94</v>
      </c>
      <c r="F492">
        <v>36</v>
      </c>
      <c r="G492">
        <v>1572</v>
      </c>
      <c r="H492">
        <v>10</v>
      </c>
      <c r="I492" s="1">
        <v>45417</v>
      </c>
      <c r="J492" s="7">
        <f>Table1[[#This Row],[Required_Qty]]-Table1[[#This Row],[Available_Qty]]</f>
        <v>1</v>
      </c>
      <c r="K492" s="7">
        <v>-1</v>
      </c>
      <c r="L492" s="7">
        <f>IF(Table1[[#This Row],[Required_Qty]]&gt;Table1[[#This Row],[Available_Qty]],Table1[[#This Row],[Required_Qty]]-Table1[[#This Row],[Available_Qty]],0)</f>
        <v>1</v>
      </c>
      <c r="M492" s="7">
        <f>IF(Table1[[#This Row],[Required_Qty]]&lt;Table1[[#This Row],[Available_Qty]],Table1[[#This Row],[Available_Qty]]-Table1[[#This Row],[Required_Qty]],0)</f>
        <v>0</v>
      </c>
      <c r="N492">
        <v>56592</v>
      </c>
      <c r="O492" s="7">
        <f>IF(AND(Table1[[#This Row],[Clean_Shortage]]&gt;0,Table1[[#This Row],[Lead_Time_Days]]&gt;10),1,0)</f>
        <v>0</v>
      </c>
    </row>
    <row r="493" spans="1:15" hidden="1" x14ac:dyDescent="0.3">
      <c r="A493" t="s">
        <v>503</v>
      </c>
      <c r="B493" t="s">
        <v>514</v>
      </c>
      <c r="C493" t="s">
        <v>518</v>
      </c>
      <c r="D493">
        <v>33</v>
      </c>
      <c r="E493">
        <v>86</v>
      </c>
      <c r="F493">
        <v>14</v>
      </c>
      <c r="G493">
        <v>8521</v>
      </c>
      <c r="H493">
        <v>5</v>
      </c>
      <c r="I493" s="1">
        <v>45418</v>
      </c>
      <c r="J493" s="7">
        <f>Table1[[#This Row],[Required_Qty]]-Table1[[#This Row],[Available_Qty]]</f>
        <v>-53</v>
      </c>
      <c r="K493" s="7">
        <v>53</v>
      </c>
      <c r="L493" s="7">
        <f>IF(Table1[[#This Row],[Required_Qty]]&gt;Table1[[#This Row],[Available_Qty]],Table1[[#This Row],[Required_Qty]]-Table1[[#This Row],[Available_Qty]],0)</f>
        <v>0</v>
      </c>
      <c r="M493" s="7">
        <f>IF(Table1[[#This Row],[Required_Qty]]&lt;Table1[[#This Row],[Available_Qty]],Table1[[#This Row],[Available_Qty]]-Table1[[#This Row],[Required_Qty]],0)</f>
        <v>53</v>
      </c>
      <c r="N493">
        <v>119294</v>
      </c>
      <c r="O493" s="7">
        <f>IF(AND(Table1[[#This Row],[Clean_Shortage]]&gt;0,Table1[[#This Row],[Lead_Time_Days]]&gt;10),1,0)</f>
        <v>0</v>
      </c>
    </row>
    <row r="494" spans="1:15" hidden="1" x14ac:dyDescent="0.3">
      <c r="A494" t="s">
        <v>504</v>
      </c>
      <c r="B494" t="s">
        <v>514</v>
      </c>
      <c r="C494" t="s">
        <v>516</v>
      </c>
      <c r="D494">
        <v>90</v>
      </c>
      <c r="E494">
        <v>54</v>
      </c>
      <c r="F494">
        <v>34</v>
      </c>
      <c r="G494">
        <v>7171</v>
      </c>
      <c r="H494">
        <v>8</v>
      </c>
      <c r="I494" s="1">
        <v>45419</v>
      </c>
      <c r="J494" s="7">
        <f>Table1[[#This Row],[Required_Qty]]-Table1[[#This Row],[Available_Qty]]</f>
        <v>36</v>
      </c>
      <c r="K494" s="7">
        <v>-36</v>
      </c>
      <c r="L494" s="7">
        <f>IF(Table1[[#This Row],[Required_Qty]]&gt;Table1[[#This Row],[Available_Qty]],Table1[[#This Row],[Required_Qty]]-Table1[[#This Row],[Available_Qty]],0)</f>
        <v>36</v>
      </c>
      <c r="M494" s="7">
        <f>IF(Table1[[#This Row],[Required_Qty]]&lt;Table1[[#This Row],[Available_Qty]],Table1[[#This Row],[Available_Qty]]-Table1[[#This Row],[Required_Qty]],0)</f>
        <v>0</v>
      </c>
      <c r="N494">
        <v>243814</v>
      </c>
      <c r="O494" s="7">
        <f>IF(AND(Table1[[#This Row],[Clean_Shortage]]&gt;0,Table1[[#This Row],[Lead_Time_Days]]&gt;10),1,0)</f>
        <v>0</v>
      </c>
    </row>
    <row r="495" spans="1:15" hidden="1" x14ac:dyDescent="0.3">
      <c r="A495" t="s">
        <v>505</v>
      </c>
      <c r="B495" t="s">
        <v>515</v>
      </c>
      <c r="C495" t="s">
        <v>518</v>
      </c>
      <c r="D495">
        <v>83</v>
      </c>
      <c r="E495">
        <v>18</v>
      </c>
      <c r="F495">
        <v>70</v>
      </c>
      <c r="G495">
        <v>8097</v>
      </c>
      <c r="H495">
        <v>9</v>
      </c>
      <c r="I495" s="1">
        <v>45420</v>
      </c>
      <c r="J495" s="7">
        <f>Table1[[#This Row],[Required_Qty]]-Table1[[#This Row],[Available_Qty]]</f>
        <v>65</v>
      </c>
      <c r="K495" s="7">
        <v>-65</v>
      </c>
      <c r="L495" s="7">
        <f>IF(Table1[[#This Row],[Required_Qty]]&gt;Table1[[#This Row],[Available_Qty]],Table1[[#This Row],[Required_Qty]]-Table1[[#This Row],[Available_Qty]],0)</f>
        <v>65</v>
      </c>
      <c r="M495" s="7">
        <f>IF(Table1[[#This Row],[Required_Qty]]&lt;Table1[[#This Row],[Available_Qty]],Table1[[#This Row],[Available_Qty]]-Table1[[#This Row],[Required_Qty]],0)</f>
        <v>0</v>
      </c>
      <c r="N495">
        <v>566790</v>
      </c>
      <c r="O495" s="7">
        <f>IF(AND(Table1[[#This Row],[Clean_Shortage]]&gt;0,Table1[[#This Row],[Lead_Time_Days]]&gt;10),1,0)</f>
        <v>0</v>
      </c>
    </row>
    <row r="496" spans="1:15" hidden="1" x14ac:dyDescent="0.3">
      <c r="A496" t="s">
        <v>506</v>
      </c>
      <c r="B496" t="s">
        <v>514</v>
      </c>
      <c r="C496" t="s">
        <v>516</v>
      </c>
      <c r="D496">
        <v>39</v>
      </c>
      <c r="E496">
        <v>68</v>
      </c>
      <c r="F496">
        <v>31</v>
      </c>
      <c r="G496">
        <v>3090</v>
      </c>
      <c r="H496">
        <v>11</v>
      </c>
      <c r="I496" s="1">
        <v>45421</v>
      </c>
      <c r="J496" s="7">
        <f>Table1[[#This Row],[Required_Qty]]-Table1[[#This Row],[Available_Qty]]</f>
        <v>-29</v>
      </c>
      <c r="K496" s="7">
        <v>29</v>
      </c>
      <c r="L496" s="7">
        <f>IF(Table1[[#This Row],[Required_Qty]]&gt;Table1[[#This Row],[Available_Qty]],Table1[[#This Row],[Required_Qty]]-Table1[[#This Row],[Available_Qty]],0)</f>
        <v>0</v>
      </c>
      <c r="M496" s="7">
        <f>IF(Table1[[#This Row],[Required_Qty]]&lt;Table1[[#This Row],[Available_Qty]],Table1[[#This Row],[Available_Qty]]-Table1[[#This Row],[Required_Qty]],0)</f>
        <v>29</v>
      </c>
      <c r="N496">
        <v>95790</v>
      </c>
      <c r="O496" s="7">
        <f>IF(AND(Table1[[#This Row],[Clean_Shortage]]&gt;0,Table1[[#This Row],[Lead_Time_Days]]&gt;10),1,0)</f>
        <v>0</v>
      </c>
    </row>
    <row r="497" spans="1:15" x14ac:dyDescent="0.3">
      <c r="A497" t="s">
        <v>507</v>
      </c>
      <c r="B497" t="s">
        <v>512</v>
      </c>
      <c r="C497" t="s">
        <v>517</v>
      </c>
      <c r="D497">
        <v>68</v>
      </c>
      <c r="E497">
        <v>51</v>
      </c>
      <c r="F497">
        <v>10</v>
      </c>
      <c r="G497">
        <v>7566</v>
      </c>
      <c r="H497">
        <v>14</v>
      </c>
      <c r="I497" s="1">
        <v>45422</v>
      </c>
      <c r="J497" s="7">
        <f>Table1[[#This Row],[Required_Qty]]-Table1[[#This Row],[Available_Qty]]</f>
        <v>17</v>
      </c>
      <c r="K497" s="7">
        <v>-17</v>
      </c>
      <c r="L497" s="7">
        <f>IF(Table1[[#This Row],[Required_Qty]]&gt;Table1[[#This Row],[Available_Qty]],Table1[[#This Row],[Required_Qty]]-Table1[[#This Row],[Available_Qty]],0)</f>
        <v>17</v>
      </c>
      <c r="M497" s="7">
        <f>IF(Table1[[#This Row],[Required_Qty]]&lt;Table1[[#This Row],[Available_Qty]],Table1[[#This Row],[Available_Qty]]-Table1[[#This Row],[Required_Qty]],0)</f>
        <v>0</v>
      </c>
      <c r="N497">
        <v>75660</v>
      </c>
      <c r="O497" s="7">
        <f>IF(AND(Table1[[#This Row],[Clean_Shortage]]&gt;0,Table1[[#This Row],[Lead_Time_Days]]&gt;10),1,0)</f>
        <v>1</v>
      </c>
    </row>
    <row r="498" spans="1:15" hidden="1" x14ac:dyDescent="0.3">
      <c r="A498" t="s">
        <v>508</v>
      </c>
      <c r="B498" t="s">
        <v>512</v>
      </c>
      <c r="C498" t="s">
        <v>517</v>
      </c>
      <c r="D498">
        <v>96</v>
      </c>
      <c r="E498">
        <v>33</v>
      </c>
      <c r="F498">
        <v>9</v>
      </c>
      <c r="G498">
        <v>5624</v>
      </c>
      <c r="H498">
        <v>7</v>
      </c>
      <c r="I498" s="1">
        <v>45423</v>
      </c>
      <c r="J498" s="7">
        <f>Table1[[#This Row],[Required_Qty]]-Table1[[#This Row],[Available_Qty]]</f>
        <v>63</v>
      </c>
      <c r="K498" s="7">
        <v>-63</v>
      </c>
      <c r="L498" s="7">
        <f>IF(Table1[[#This Row],[Required_Qty]]&gt;Table1[[#This Row],[Available_Qty]],Table1[[#This Row],[Required_Qty]]-Table1[[#This Row],[Available_Qty]],0)</f>
        <v>63</v>
      </c>
      <c r="M498" s="7">
        <f>IF(Table1[[#This Row],[Required_Qty]]&lt;Table1[[#This Row],[Available_Qty]],Table1[[#This Row],[Available_Qty]]-Table1[[#This Row],[Required_Qty]],0)</f>
        <v>0</v>
      </c>
      <c r="N498">
        <v>50616</v>
      </c>
      <c r="O498" s="7">
        <f>IF(AND(Table1[[#This Row],[Clean_Shortage]]&gt;0,Table1[[#This Row],[Lead_Time_Days]]&gt;10),1,0)</f>
        <v>0</v>
      </c>
    </row>
    <row r="499" spans="1:15" x14ac:dyDescent="0.3">
      <c r="A499" t="s">
        <v>509</v>
      </c>
      <c r="B499" t="s">
        <v>513</v>
      </c>
      <c r="C499" t="s">
        <v>517</v>
      </c>
      <c r="D499">
        <v>90</v>
      </c>
      <c r="E499">
        <v>80</v>
      </c>
      <c r="F499">
        <v>72</v>
      </c>
      <c r="G499">
        <v>2633</v>
      </c>
      <c r="H499">
        <v>14</v>
      </c>
      <c r="I499" s="1">
        <v>45424</v>
      </c>
      <c r="J499" s="7">
        <f>Table1[[#This Row],[Required_Qty]]-Table1[[#This Row],[Available_Qty]]</f>
        <v>10</v>
      </c>
      <c r="K499" s="7">
        <v>-10</v>
      </c>
      <c r="L499" s="7">
        <f>IF(Table1[[#This Row],[Required_Qty]]&gt;Table1[[#This Row],[Available_Qty]],Table1[[#This Row],[Required_Qty]]-Table1[[#This Row],[Available_Qty]],0)</f>
        <v>10</v>
      </c>
      <c r="M499" s="7">
        <f>IF(Table1[[#This Row],[Required_Qty]]&lt;Table1[[#This Row],[Available_Qty]],Table1[[#This Row],[Available_Qty]]-Table1[[#This Row],[Required_Qty]],0)</f>
        <v>0</v>
      </c>
      <c r="N499">
        <v>189576</v>
      </c>
      <c r="O499" s="7">
        <f>IF(AND(Table1[[#This Row],[Clean_Shortage]]&gt;0,Table1[[#This Row],[Lead_Time_Days]]&gt;10),1,0)</f>
        <v>1</v>
      </c>
    </row>
    <row r="500" spans="1:15" x14ac:dyDescent="0.3">
      <c r="A500" t="s">
        <v>510</v>
      </c>
      <c r="B500" t="s">
        <v>514</v>
      </c>
      <c r="C500" t="s">
        <v>518</v>
      </c>
      <c r="D500">
        <v>90</v>
      </c>
      <c r="E500">
        <v>40</v>
      </c>
      <c r="F500">
        <v>77</v>
      </c>
      <c r="G500">
        <v>2517</v>
      </c>
      <c r="H500">
        <v>13</v>
      </c>
      <c r="I500" s="1">
        <v>45425</v>
      </c>
      <c r="J500" s="7">
        <f>Table1[[#This Row],[Required_Qty]]-Table1[[#This Row],[Available_Qty]]</f>
        <v>50</v>
      </c>
      <c r="K500" s="7">
        <v>-50</v>
      </c>
      <c r="L500" s="7">
        <f>IF(Table1[[#This Row],[Required_Qty]]&gt;Table1[[#This Row],[Available_Qty]],Table1[[#This Row],[Required_Qty]]-Table1[[#This Row],[Available_Qty]],0)</f>
        <v>50</v>
      </c>
      <c r="M500" s="7">
        <f>IF(Table1[[#This Row],[Required_Qty]]&lt;Table1[[#This Row],[Available_Qty]],Table1[[#This Row],[Available_Qty]]-Table1[[#This Row],[Required_Qty]],0)</f>
        <v>0</v>
      </c>
      <c r="N500">
        <v>193809</v>
      </c>
      <c r="O500" s="7">
        <f>IF(AND(Table1[[#This Row],[Clean_Shortage]]&gt;0,Table1[[#This Row],[Lead_Time_Days]]&gt;10),1,0)</f>
        <v>1</v>
      </c>
    </row>
    <row r="501" spans="1:15" hidden="1" x14ac:dyDescent="0.3">
      <c r="A501" t="s">
        <v>511</v>
      </c>
      <c r="B501" t="s">
        <v>513</v>
      </c>
      <c r="C501" t="s">
        <v>517</v>
      </c>
      <c r="D501">
        <v>23</v>
      </c>
      <c r="E501">
        <v>103</v>
      </c>
      <c r="F501">
        <v>76</v>
      </c>
      <c r="G501">
        <v>4648</v>
      </c>
      <c r="H501">
        <v>7</v>
      </c>
      <c r="I501" s="1">
        <v>45426</v>
      </c>
      <c r="J501" s="7">
        <f>Table1[[#This Row],[Required_Qty]]-Table1[[#This Row],[Available_Qty]]</f>
        <v>-80</v>
      </c>
      <c r="K501" s="7">
        <v>80</v>
      </c>
      <c r="L501" s="7">
        <f>IF(Table1[[#This Row],[Required_Qty]]&gt;Table1[[#This Row],[Available_Qty]],Table1[[#This Row],[Required_Qty]]-Table1[[#This Row],[Available_Qty]],0)</f>
        <v>0</v>
      </c>
      <c r="M501" s="7">
        <f>IF(Table1[[#This Row],[Required_Qty]]&lt;Table1[[#This Row],[Available_Qty]],Table1[[#This Row],[Available_Qty]]-Table1[[#This Row],[Required_Qty]],0)</f>
        <v>80</v>
      </c>
      <c r="N501">
        <v>353248</v>
      </c>
      <c r="O501" s="7">
        <f>IF(AND(Table1[[#This Row],[Clean_Shortage]]&gt;0,Table1[[#This Row],[Lead_Time_Days]]&gt;10),1,0)</f>
        <v>0</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861E-E564-4CA1-90DD-221BC2CBD9B5}">
  <dimension ref="A3:B8"/>
  <sheetViews>
    <sheetView workbookViewId="0">
      <selection activeCell="B4" sqref="B4"/>
    </sheetView>
  </sheetViews>
  <sheetFormatPr defaultRowHeight="14.4" x14ac:dyDescent="0.3"/>
  <cols>
    <col min="1" max="1" width="12.5546875" bestFit="1" customWidth="1"/>
    <col min="2" max="2" width="20.88671875" bestFit="1" customWidth="1"/>
  </cols>
  <sheetData>
    <row r="3" spans="1:2" x14ac:dyDescent="0.3">
      <c r="A3" s="3" t="s">
        <v>519</v>
      </c>
      <c r="B3" t="s">
        <v>524</v>
      </c>
    </row>
    <row r="4" spans="1:2" x14ac:dyDescent="0.3">
      <c r="A4" s="4" t="s">
        <v>513</v>
      </c>
      <c r="B4" s="8">
        <v>1750</v>
      </c>
    </row>
    <row r="5" spans="1:2" x14ac:dyDescent="0.3">
      <c r="A5" s="4" t="s">
        <v>514</v>
      </c>
      <c r="B5" s="8">
        <v>1668</v>
      </c>
    </row>
    <row r="6" spans="1:2" x14ac:dyDescent="0.3">
      <c r="A6" s="4" t="s">
        <v>512</v>
      </c>
      <c r="B6" s="8">
        <v>1467</v>
      </c>
    </row>
    <row r="7" spans="1:2" x14ac:dyDescent="0.3">
      <c r="A7" s="4" t="s">
        <v>515</v>
      </c>
      <c r="B7" s="8">
        <v>1351</v>
      </c>
    </row>
    <row r="8" spans="1:2" x14ac:dyDescent="0.3">
      <c r="A8" s="4" t="s">
        <v>520</v>
      </c>
      <c r="B8" s="8">
        <v>6236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2846-81B5-49BD-98D6-E253DE1C1362}">
  <dimension ref="A3:B8"/>
  <sheetViews>
    <sheetView workbookViewId="0">
      <selection activeCell="B4" sqref="B4"/>
    </sheetView>
  </sheetViews>
  <sheetFormatPr defaultRowHeight="14.4" x14ac:dyDescent="0.3"/>
  <cols>
    <col min="1" max="1" width="12.5546875" bestFit="1" customWidth="1"/>
    <col min="2" max="2" width="18.6640625" bestFit="1" customWidth="1"/>
  </cols>
  <sheetData>
    <row r="3" spans="1:2" x14ac:dyDescent="0.3">
      <c r="A3" s="3" t="s">
        <v>519</v>
      </c>
      <c r="B3" t="s">
        <v>525</v>
      </c>
    </row>
    <row r="4" spans="1:2" x14ac:dyDescent="0.3">
      <c r="A4" s="4" t="s">
        <v>513</v>
      </c>
      <c r="B4" s="8">
        <v>3387</v>
      </c>
    </row>
    <row r="5" spans="1:2" x14ac:dyDescent="0.3">
      <c r="A5" s="4" t="s">
        <v>512</v>
      </c>
      <c r="B5" s="8">
        <v>2854</v>
      </c>
    </row>
    <row r="6" spans="1:2" x14ac:dyDescent="0.3">
      <c r="A6" s="4" t="s">
        <v>514</v>
      </c>
      <c r="B6" s="8">
        <v>2603</v>
      </c>
    </row>
    <row r="7" spans="1:2" x14ac:dyDescent="0.3">
      <c r="A7" s="4" t="s">
        <v>515</v>
      </c>
      <c r="B7" s="8">
        <v>2418</v>
      </c>
    </row>
    <row r="8" spans="1:2" x14ac:dyDescent="0.3">
      <c r="A8" s="4" t="s">
        <v>520</v>
      </c>
      <c r="B8" s="8">
        <v>11262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9D4B-FF49-4B0F-8150-D0D98BA86151}">
  <dimension ref="A3:B7"/>
  <sheetViews>
    <sheetView workbookViewId="0">
      <selection activeCell="B11" sqref="B11"/>
    </sheetView>
  </sheetViews>
  <sheetFormatPr defaultRowHeight="14.4" x14ac:dyDescent="0.3"/>
  <cols>
    <col min="1" max="1" width="12.5546875" bestFit="1" customWidth="1"/>
    <col min="2" max="2" width="22.44140625" bestFit="1" customWidth="1"/>
  </cols>
  <sheetData>
    <row r="3" spans="1:2" x14ac:dyDescent="0.3">
      <c r="A3" s="3" t="s">
        <v>519</v>
      </c>
      <c r="B3" t="s">
        <v>521</v>
      </c>
    </row>
    <row r="4" spans="1:2" x14ac:dyDescent="0.3">
      <c r="A4" s="4" t="s">
        <v>517</v>
      </c>
      <c r="B4" s="5">
        <v>40082112</v>
      </c>
    </row>
    <row r="5" spans="1:2" x14ac:dyDescent="0.3">
      <c r="A5" s="4" t="s">
        <v>518</v>
      </c>
      <c r="B5" s="5">
        <v>38359852</v>
      </c>
    </row>
    <row r="6" spans="1:2" x14ac:dyDescent="0.3">
      <c r="A6" s="4" t="s">
        <v>516</v>
      </c>
      <c r="B6" s="5">
        <v>32734892</v>
      </c>
    </row>
    <row r="7" spans="1:2" x14ac:dyDescent="0.3">
      <c r="A7" s="4" t="s">
        <v>520</v>
      </c>
      <c r="B7" s="5">
        <v>111176856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7F7E-13F1-4D76-84A1-2429919F89F5}">
  <dimension ref="A1:A23"/>
  <sheetViews>
    <sheetView tabSelected="1" topLeftCell="A5" workbookViewId="0">
      <selection activeCell="A24" sqref="A24"/>
    </sheetView>
  </sheetViews>
  <sheetFormatPr defaultRowHeight="14.4" x14ac:dyDescent="0.3"/>
  <cols>
    <col min="1" max="1" width="191.77734375" customWidth="1"/>
  </cols>
  <sheetData>
    <row r="1" spans="1:1" ht="15.6" x14ac:dyDescent="0.3">
      <c r="A1" s="10" t="s">
        <v>526</v>
      </c>
    </row>
    <row r="4" spans="1:1" x14ac:dyDescent="0.3">
      <c r="A4" t="s">
        <v>527</v>
      </c>
    </row>
    <row r="5" spans="1:1" x14ac:dyDescent="0.3">
      <c r="A5" t="s">
        <v>528</v>
      </c>
    </row>
    <row r="6" spans="1:1" x14ac:dyDescent="0.3">
      <c r="A6" t="s">
        <v>529</v>
      </c>
    </row>
    <row r="8" spans="1:1" x14ac:dyDescent="0.3">
      <c r="A8" t="s">
        <v>530</v>
      </c>
    </row>
    <row r="10" spans="1:1" x14ac:dyDescent="0.3">
      <c r="A10" t="s">
        <v>531</v>
      </c>
    </row>
    <row r="12" spans="1:1" x14ac:dyDescent="0.3">
      <c r="A12" t="s">
        <v>532</v>
      </c>
    </row>
    <row r="16" spans="1:1" x14ac:dyDescent="0.3">
      <c r="A16" t="s">
        <v>533</v>
      </c>
    </row>
    <row r="19" spans="1:1" x14ac:dyDescent="0.3">
      <c r="A19" s="9" t="s">
        <v>535</v>
      </c>
    </row>
    <row r="20" spans="1:1" x14ac:dyDescent="0.3">
      <c r="A20" s="11">
        <f>SUM(Sheet1!O:O)</f>
        <v>72</v>
      </c>
    </row>
    <row r="22" spans="1:1" x14ac:dyDescent="0.3">
      <c r="A22" t="s">
        <v>536</v>
      </c>
    </row>
    <row r="23" spans="1:1" x14ac:dyDescent="0.3">
      <c r="A23"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Sheet5</vt:lpstr>
      <vt:lpstr>Sheet7</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Megha Jain</cp:lastModifiedBy>
  <dcterms:created xsi:type="dcterms:W3CDTF">2026-03-17T17:34:53Z</dcterms:created>
  <dcterms:modified xsi:type="dcterms:W3CDTF">2026-03-17T18:49:59Z</dcterms:modified>
</cp:coreProperties>
</file>